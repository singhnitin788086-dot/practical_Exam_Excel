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DELL\OneDrive\Desktop\Excel_project\"/>
    </mc:Choice>
  </mc:AlternateContent>
  <xr:revisionPtr revIDLastSave="0" documentId="13_ncr:1_{223FD9F7-01F6-42B9-A5B4-966C3355C1ED}" xr6:coauthVersionLast="47" xr6:coauthVersionMax="47" xr10:uidLastSave="{00000000-0000-0000-0000-000000000000}"/>
  <bookViews>
    <workbookView xWindow="-110" yWindow="-110" windowWidth="19420" windowHeight="10300" tabRatio="500" firstSheet="4" activeTab="4" xr2:uid="{00000000-000D-0000-FFFF-FFFF00000000}"/>
  </bookViews>
  <sheets>
    <sheet name="Sales_Data" sheetId="1" r:id="rId1"/>
    <sheet name="Summarzation" sheetId="3" r:id="rId2"/>
    <sheet name="Pivot_Table" sheetId="20" r:id="rId3"/>
    <sheet name="KPI's" sheetId="21" r:id="rId4"/>
    <sheet name="Dashboard" sheetId="18" r:id="rId5"/>
  </sheets>
  <definedNames>
    <definedName name="_xlnm._FilterDatabase" localSheetId="0" hidden="1">Sales_Data!$A$1:$L$302</definedName>
    <definedName name="NativeTimeline_Last_Updated">#N/A</definedName>
    <definedName name="Slicer_Region">#N/A</definedName>
  </definedNames>
  <calcPr calcId="191028" iterate="1" iterateCount="1"/>
  <pivotCaches>
    <pivotCache cacheId="1"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8"/>
      </x15:timelineCacheRefs>
    </ext>
    <ext xmlns:x15="http://schemas.microsoft.com/office/spreadsheetml/2010/11/main" uri="{140A7094-0E35-4892-8432-C4D2E57EDEB5}">
      <x15:workbookPr chartTrackingRefBase="1"/>
    </ext>
    <ext xmlns:loext="http://schemas.libreoffice.org/" uri="{7626C862-2A13-11E5-B345-FEFF819CDC9F}">
      <loext:extCalcPr stringRefSyntax="ExcelA1"/>
    </ext>
  </extLst>
</workbook>
</file>

<file path=xl/calcChain.xml><?xml version="1.0" encoding="utf-8"?>
<calcChain xmlns="http://schemas.openxmlformats.org/spreadsheetml/2006/main">
  <c r="G10" i="21" l="1"/>
  <c r="L3" i="21"/>
  <c r="G3" i="21" a="1"/>
  <c r="G3" i="21" s="1"/>
  <c r="B3" i="21"/>
  <c r="G3" i="1"/>
  <c r="I3" i="1" s="1"/>
  <c r="G4" i="1"/>
  <c r="I4" i="1" s="1"/>
  <c r="G5" i="1"/>
  <c r="I5" i="1" s="1"/>
  <c r="G6" i="1"/>
  <c r="I6" i="1" s="1"/>
  <c r="G7" i="1"/>
  <c r="I7" i="1" s="1"/>
  <c r="G8" i="1"/>
  <c r="I8" i="1" s="1"/>
  <c r="G9" i="1"/>
  <c r="I9" i="1" s="1"/>
  <c r="G10" i="1"/>
  <c r="I10" i="1" s="1"/>
  <c r="G11" i="1"/>
  <c r="I11" i="1" s="1"/>
  <c r="G12" i="1"/>
  <c r="I12" i="1" s="1"/>
  <c r="G13" i="1"/>
  <c r="I13" i="1" s="1"/>
  <c r="G14" i="1"/>
  <c r="I14" i="1" s="1"/>
  <c r="G15" i="1"/>
  <c r="I15" i="1" s="1"/>
  <c r="G16" i="1"/>
  <c r="I16" i="1" s="1"/>
  <c r="G17" i="1"/>
  <c r="I17" i="1" s="1"/>
  <c r="G18" i="1"/>
  <c r="I18" i="1" s="1"/>
  <c r="G19" i="1"/>
  <c r="I19" i="1" s="1"/>
  <c r="G20" i="1"/>
  <c r="I20" i="1" s="1"/>
  <c r="G21" i="1"/>
  <c r="I21" i="1" s="1"/>
  <c r="G22" i="1"/>
  <c r="I22" i="1" s="1"/>
  <c r="G23" i="1"/>
  <c r="I23" i="1" s="1"/>
  <c r="G24" i="1"/>
  <c r="I24" i="1" s="1"/>
  <c r="G25" i="1"/>
  <c r="I25" i="1" s="1"/>
  <c r="G26" i="1"/>
  <c r="I26" i="1" s="1"/>
  <c r="G27" i="1"/>
  <c r="I27" i="1" s="1"/>
  <c r="G28" i="1"/>
  <c r="I28" i="1" s="1"/>
  <c r="G29" i="1"/>
  <c r="I29" i="1" s="1"/>
  <c r="G30" i="1"/>
  <c r="I30" i="1" s="1"/>
  <c r="G31" i="1"/>
  <c r="I31" i="1" s="1"/>
  <c r="G32" i="1"/>
  <c r="I32" i="1" s="1"/>
  <c r="G33" i="1"/>
  <c r="I33" i="1" s="1"/>
  <c r="G34" i="1"/>
  <c r="I34" i="1" s="1"/>
  <c r="G35" i="1"/>
  <c r="I35" i="1" s="1"/>
  <c r="G36" i="1"/>
  <c r="I36" i="1" s="1"/>
  <c r="G37" i="1"/>
  <c r="I37" i="1" s="1"/>
  <c r="G38" i="1"/>
  <c r="I38" i="1" s="1"/>
  <c r="G39" i="1"/>
  <c r="I39" i="1" s="1"/>
  <c r="G40" i="1"/>
  <c r="I40" i="1" s="1"/>
  <c r="G41" i="1"/>
  <c r="I41" i="1" s="1"/>
  <c r="G42" i="1"/>
  <c r="I42" i="1" s="1"/>
  <c r="G43" i="1"/>
  <c r="I43" i="1" s="1"/>
  <c r="G44" i="1"/>
  <c r="I44" i="1" s="1"/>
  <c r="G45" i="1"/>
  <c r="I45" i="1" s="1"/>
  <c r="G46" i="1"/>
  <c r="I46" i="1" s="1"/>
  <c r="G47" i="1"/>
  <c r="I47" i="1" s="1"/>
  <c r="G48" i="1"/>
  <c r="I48" i="1" s="1"/>
  <c r="G49" i="1"/>
  <c r="I49" i="1" s="1"/>
  <c r="G50" i="1"/>
  <c r="I50" i="1" s="1"/>
  <c r="G51" i="1"/>
  <c r="I51" i="1" s="1"/>
  <c r="G52" i="1"/>
  <c r="I52" i="1" s="1"/>
  <c r="G53" i="1"/>
  <c r="I53" i="1" s="1"/>
  <c r="G54" i="1"/>
  <c r="I54" i="1" s="1"/>
  <c r="G55" i="1"/>
  <c r="I55" i="1" s="1"/>
  <c r="G56" i="1"/>
  <c r="I56" i="1" s="1"/>
  <c r="G57" i="1"/>
  <c r="I57" i="1" s="1"/>
  <c r="G58" i="1"/>
  <c r="I58" i="1" s="1"/>
  <c r="G59" i="1"/>
  <c r="I59" i="1" s="1"/>
  <c r="G60" i="1"/>
  <c r="I60" i="1" s="1"/>
  <c r="G61" i="1"/>
  <c r="I61" i="1" s="1"/>
  <c r="G62" i="1"/>
  <c r="I62" i="1" s="1"/>
  <c r="G63" i="1"/>
  <c r="I63" i="1" s="1"/>
  <c r="G64" i="1"/>
  <c r="I64" i="1" s="1"/>
  <c r="G65" i="1"/>
  <c r="I65" i="1" s="1"/>
  <c r="G66" i="1"/>
  <c r="I66" i="1" s="1"/>
  <c r="G67" i="1"/>
  <c r="I67" i="1" s="1"/>
  <c r="G68" i="1"/>
  <c r="I68" i="1" s="1"/>
  <c r="G69" i="1"/>
  <c r="I69" i="1" s="1"/>
  <c r="G70" i="1"/>
  <c r="I70" i="1" s="1"/>
  <c r="G71" i="1"/>
  <c r="I71" i="1" s="1"/>
  <c r="G72" i="1"/>
  <c r="I72" i="1" s="1"/>
  <c r="G73" i="1"/>
  <c r="I73" i="1" s="1"/>
  <c r="G74" i="1"/>
  <c r="I74" i="1" s="1"/>
  <c r="G75" i="1"/>
  <c r="I75" i="1" s="1"/>
  <c r="G76" i="1"/>
  <c r="I76" i="1" s="1"/>
  <c r="G77" i="1"/>
  <c r="I77" i="1" s="1"/>
  <c r="G78" i="1"/>
  <c r="I78" i="1" s="1"/>
  <c r="G79" i="1"/>
  <c r="I79" i="1" s="1"/>
  <c r="G80" i="1"/>
  <c r="I80" i="1" s="1"/>
  <c r="G81" i="1"/>
  <c r="I81" i="1" s="1"/>
  <c r="G82" i="1"/>
  <c r="I82" i="1" s="1"/>
  <c r="G83" i="1"/>
  <c r="I83" i="1" s="1"/>
  <c r="G84" i="1"/>
  <c r="I84" i="1" s="1"/>
  <c r="G85" i="1"/>
  <c r="I85" i="1" s="1"/>
  <c r="G86" i="1"/>
  <c r="I86" i="1" s="1"/>
  <c r="G87" i="1"/>
  <c r="I87" i="1" s="1"/>
  <c r="G88" i="1"/>
  <c r="I88" i="1" s="1"/>
  <c r="G89" i="1"/>
  <c r="I89" i="1" s="1"/>
  <c r="G90" i="1"/>
  <c r="I90" i="1" s="1"/>
  <c r="G91" i="1"/>
  <c r="I91" i="1" s="1"/>
  <c r="G92" i="1"/>
  <c r="I92" i="1" s="1"/>
  <c r="G93" i="1"/>
  <c r="I93" i="1" s="1"/>
  <c r="G94" i="1"/>
  <c r="I94" i="1" s="1"/>
  <c r="G95" i="1"/>
  <c r="I95" i="1" s="1"/>
  <c r="G96" i="1"/>
  <c r="I96" i="1" s="1"/>
  <c r="G97" i="1"/>
  <c r="I97" i="1" s="1"/>
  <c r="G98" i="1"/>
  <c r="I98" i="1" s="1"/>
  <c r="G99" i="1"/>
  <c r="I99" i="1" s="1"/>
  <c r="G100" i="1"/>
  <c r="I100" i="1" s="1"/>
  <c r="G101" i="1"/>
  <c r="I101" i="1" s="1"/>
  <c r="G102" i="1"/>
  <c r="I102" i="1" s="1"/>
  <c r="G103" i="1"/>
  <c r="I103" i="1" s="1"/>
  <c r="G104" i="1"/>
  <c r="I104" i="1" s="1"/>
  <c r="G105" i="1"/>
  <c r="I105" i="1" s="1"/>
  <c r="G106" i="1"/>
  <c r="I106" i="1" s="1"/>
  <c r="G107" i="1"/>
  <c r="I107" i="1" s="1"/>
  <c r="G108" i="1"/>
  <c r="I108" i="1" s="1"/>
  <c r="G109" i="1"/>
  <c r="I109" i="1" s="1"/>
  <c r="G110" i="1"/>
  <c r="I110" i="1" s="1"/>
  <c r="G111" i="1"/>
  <c r="I111" i="1" s="1"/>
  <c r="G112" i="1"/>
  <c r="I112" i="1" s="1"/>
  <c r="G113" i="1"/>
  <c r="I113" i="1" s="1"/>
  <c r="G114" i="1"/>
  <c r="I114" i="1" s="1"/>
  <c r="G115" i="1"/>
  <c r="I115" i="1" s="1"/>
  <c r="G116" i="1"/>
  <c r="I116" i="1" s="1"/>
  <c r="G117" i="1"/>
  <c r="I117" i="1" s="1"/>
  <c r="G118" i="1"/>
  <c r="I118" i="1" s="1"/>
  <c r="G119" i="1"/>
  <c r="I119" i="1" s="1"/>
  <c r="G120" i="1"/>
  <c r="I120" i="1" s="1"/>
  <c r="G121" i="1"/>
  <c r="I121" i="1" s="1"/>
  <c r="G122" i="1"/>
  <c r="I122" i="1" s="1"/>
  <c r="G123" i="1"/>
  <c r="I123" i="1" s="1"/>
  <c r="G124" i="1"/>
  <c r="I124" i="1" s="1"/>
  <c r="G125" i="1"/>
  <c r="I125" i="1" s="1"/>
  <c r="G126" i="1"/>
  <c r="I126" i="1" s="1"/>
  <c r="G127" i="1"/>
  <c r="I127" i="1" s="1"/>
  <c r="G128" i="1"/>
  <c r="I128" i="1" s="1"/>
  <c r="G129" i="1"/>
  <c r="I129" i="1" s="1"/>
  <c r="G130" i="1"/>
  <c r="I130" i="1" s="1"/>
  <c r="G131" i="1"/>
  <c r="I131" i="1" s="1"/>
  <c r="G132" i="1"/>
  <c r="I132" i="1" s="1"/>
  <c r="G133" i="1"/>
  <c r="I133" i="1" s="1"/>
  <c r="G134" i="1"/>
  <c r="I134" i="1" s="1"/>
  <c r="G135" i="1"/>
  <c r="I135" i="1" s="1"/>
  <c r="G136" i="1"/>
  <c r="I136" i="1" s="1"/>
  <c r="G137" i="1"/>
  <c r="I137" i="1" s="1"/>
  <c r="G138" i="1"/>
  <c r="I138" i="1" s="1"/>
  <c r="G139" i="1"/>
  <c r="I139" i="1" s="1"/>
  <c r="G140" i="1"/>
  <c r="I140" i="1" s="1"/>
  <c r="G141" i="1"/>
  <c r="I141" i="1" s="1"/>
  <c r="G142" i="1"/>
  <c r="I142" i="1" s="1"/>
  <c r="G143" i="1"/>
  <c r="I143" i="1" s="1"/>
  <c r="G144" i="1"/>
  <c r="I144" i="1" s="1"/>
  <c r="G145" i="1"/>
  <c r="I145" i="1" s="1"/>
  <c r="G146" i="1"/>
  <c r="I146" i="1" s="1"/>
  <c r="G147" i="1"/>
  <c r="I147" i="1" s="1"/>
  <c r="G148" i="1"/>
  <c r="I148" i="1" s="1"/>
  <c r="G149" i="1"/>
  <c r="I149" i="1" s="1"/>
  <c r="G150" i="1"/>
  <c r="I150" i="1" s="1"/>
  <c r="G151" i="1"/>
  <c r="I151" i="1" s="1"/>
  <c r="G152" i="1"/>
  <c r="I152" i="1" s="1"/>
  <c r="G153" i="1"/>
  <c r="I153" i="1" s="1"/>
  <c r="G154" i="1"/>
  <c r="I154" i="1" s="1"/>
  <c r="G155" i="1"/>
  <c r="I155" i="1" s="1"/>
  <c r="G156" i="1"/>
  <c r="I156" i="1" s="1"/>
  <c r="G157" i="1"/>
  <c r="I157" i="1" s="1"/>
  <c r="G158" i="1"/>
  <c r="I158" i="1" s="1"/>
  <c r="G159" i="1"/>
  <c r="I159" i="1" s="1"/>
  <c r="G160" i="1"/>
  <c r="I160" i="1" s="1"/>
  <c r="G161" i="1"/>
  <c r="I161" i="1" s="1"/>
  <c r="G162" i="1"/>
  <c r="I162" i="1" s="1"/>
  <c r="G163" i="1"/>
  <c r="I163" i="1" s="1"/>
  <c r="G164" i="1"/>
  <c r="I164" i="1" s="1"/>
  <c r="G165" i="1"/>
  <c r="I165" i="1" s="1"/>
  <c r="G166" i="1"/>
  <c r="I166" i="1" s="1"/>
  <c r="G167" i="1"/>
  <c r="I167" i="1" s="1"/>
  <c r="G168" i="1"/>
  <c r="I168" i="1" s="1"/>
  <c r="G169" i="1"/>
  <c r="I169" i="1" s="1"/>
  <c r="G170" i="1"/>
  <c r="I170" i="1" s="1"/>
  <c r="G171" i="1"/>
  <c r="I171" i="1" s="1"/>
  <c r="G172" i="1"/>
  <c r="I172" i="1" s="1"/>
  <c r="G173" i="1"/>
  <c r="I173" i="1" s="1"/>
  <c r="G174" i="1"/>
  <c r="I174" i="1" s="1"/>
  <c r="G175" i="1"/>
  <c r="I175" i="1" s="1"/>
  <c r="G176" i="1"/>
  <c r="I176" i="1" s="1"/>
  <c r="G177" i="1"/>
  <c r="I177" i="1" s="1"/>
  <c r="G178" i="1"/>
  <c r="I178" i="1" s="1"/>
  <c r="G179" i="1"/>
  <c r="I179" i="1" s="1"/>
  <c r="G180" i="1"/>
  <c r="I180" i="1" s="1"/>
  <c r="G181" i="1"/>
  <c r="I181" i="1" s="1"/>
  <c r="G182" i="1"/>
  <c r="I182" i="1" s="1"/>
  <c r="G183" i="1"/>
  <c r="I183" i="1" s="1"/>
  <c r="G184" i="1"/>
  <c r="I184" i="1" s="1"/>
  <c r="G185" i="1"/>
  <c r="I185" i="1" s="1"/>
  <c r="G186" i="1"/>
  <c r="I186" i="1" s="1"/>
  <c r="G187" i="1"/>
  <c r="I187" i="1" s="1"/>
  <c r="G188" i="1"/>
  <c r="I188" i="1" s="1"/>
  <c r="G189" i="1"/>
  <c r="I189" i="1" s="1"/>
  <c r="G190" i="1"/>
  <c r="I190" i="1" s="1"/>
  <c r="G191" i="1"/>
  <c r="I191" i="1" s="1"/>
  <c r="G192" i="1"/>
  <c r="I192" i="1" s="1"/>
  <c r="G193" i="1"/>
  <c r="I193" i="1" s="1"/>
  <c r="G194" i="1"/>
  <c r="I194" i="1" s="1"/>
  <c r="G195" i="1"/>
  <c r="I195" i="1" s="1"/>
  <c r="G196" i="1"/>
  <c r="I196" i="1" s="1"/>
  <c r="G197" i="1"/>
  <c r="I197" i="1" s="1"/>
  <c r="G198" i="1"/>
  <c r="I198" i="1" s="1"/>
  <c r="G199" i="1"/>
  <c r="I199" i="1" s="1"/>
  <c r="G200" i="1"/>
  <c r="I200" i="1" s="1"/>
  <c r="G201" i="1"/>
  <c r="I201" i="1" s="1"/>
  <c r="G202" i="1"/>
  <c r="I202" i="1" s="1"/>
  <c r="G203" i="1"/>
  <c r="I203" i="1" s="1"/>
  <c r="G204" i="1"/>
  <c r="I204" i="1" s="1"/>
  <c r="G205" i="1"/>
  <c r="I205" i="1" s="1"/>
  <c r="G206" i="1"/>
  <c r="I206" i="1" s="1"/>
  <c r="G207" i="1"/>
  <c r="I207" i="1" s="1"/>
  <c r="G208" i="1"/>
  <c r="I208" i="1" s="1"/>
  <c r="G209" i="1"/>
  <c r="I209" i="1" s="1"/>
  <c r="G210" i="1"/>
  <c r="I210" i="1" s="1"/>
  <c r="G211" i="1"/>
  <c r="I211" i="1" s="1"/>
  <c r="G212" i="1"/>
  <c r="I212" i="1" s="1"/>
  <c r="G213" i="1"/>
  <c r="I213" i="1" s="1"/>
  <c r="G214" i="1"/>
  <c r="I214" i="1" s="1"/>
  <c r="G215" i="1"/>
  <c r="I215" i="1" s="1"/>
  <c r="G216" i="1"/>
  <c r="I216" i="1" s="1"/>
  <c r="G217" i="1"/>
  <c r="I217" i="1" s="1"/>
  <c r="G218" i="1"/>
  <c r="I218" i="1" s="1"/>
  <c r="G219" i="1"/>
  <c r="I219" i="1" s="1"/>
  <c r="G220" i="1"/>
  <c r="I220" i="1" s="1"/>
  <c r="G221" i="1"/>
  <c r="I221" i="1" s="1"/>
  <c r="G222" i="1"/>
  <c r="I222" i="1" s="1"/>
  <c r="G223" i="1"/>
  <c r="I223" i="1" s="1"/>
  <c r="G224" i="1"/>
  <c r="I224" i="1" s="1"/>
  <c r="G225" i="1"/>
  <c r="I225" i="1" s="1"/>
  <c r="G226" i="1"/>
  <c r="I226" i="1" s="1"/>
  <c r="G227" i="1"/>
  <c r="I227" i="1" s="1"/>
  <c r="G228" i="1"/>
  <c r="I228" i="1" s="1"/>
  <c r="G229" i="1"/>
  <c r="I229" i="1" s="1"/>
  <c r="G230" i="1"/>
  <c r="I230" i="1" s="1"/>
  <c r="G231" i="1"/>
  <c r="I231" i="1" s="1"/>
  <c r="G232" i="1"/>
  <c r="I232" i="1" s="1"/>
  <c r="G233" i="1"/>
  <c r="I233" i="1" s="1"/>
  <c r="G234" i="1"/>
  <c r="I234" i="1" s="1"/>
  <c r="G235" i="1"/>
  <c r="I235" i="1" s="1"/>
  <c r="G236" i="1"/>
  <c r="I236" i="1" s="1"/>
  <c r="G237" i="1"/>
  <c r="I237" i="1" s="1"/>
  <c r="G238" i="1"/>
  <c r="I238" i="1" s="1"/>
  <c r="G239" i="1"/>
  <c r="I239" i="1" s="1"/>
  <c r="G240" i="1"/>
  <c r="I240" i="1" s="1"/>
  <c r="G241" i="1"/>
  <c r="I241" i="1" s="1"/>
  <c r="G242" i="1"/>
  <c r="I242" i="1" s="1"/>
  <c r="G243" i="1"/>
  <c r="I243" i="1" s="1"/>
  <c r="G244" i="1"/>
  <c r="I244" i="1" s="1"/>
  <c r="G245" i="1"/>
  <c r="I245" i="1" s="1"/>
  <c r="G246" i="1"/>
  <c r="I246" i="1" s="1"/>
  <c r="G247" i="1"/>
  <c r="I247" i="1" s="1"/>
  <c r="G248" i="1"/>
  <c r="I248" i="1" s="1"/>
  <c r="G249" i="1"/>
  <c r="I249" i="1" s="1"/>
  <c r="G250" i="1"/>
  <c r="I250" i="1" s="1"/>
  <c r="G251" i="1"/>
  <c r="I251" i="1" s="1"/>
  <c r="G252" i="1"/>
  <c r="I252" i="1" s="1"/>
  <c r="G253" i="1"/>
  <c r="I253" i="1" s="1"/>
  <c r="G254" i="1"/>
  <c r="I254" i="1" s="1"/>
  <c r="G255" i="1"/>
  <c r="I255" i="1" s="1"/>
  <c r="G256" i="1"/>
  <c r="I256" i="1" s="1"/>
  <c r="G257" i="1"/>
  <c r="I257" i="1" s="1"/>
  <c r="G258" i="1"/>
  <c r="I258" i="1" s="1"/>
  <c r="G259" i="1"/>
  <c r="I259" i="1" s="1"/>
  <c r="G260" i="1"/>
  <c r="I260" i="1" s="1"/>
  <c r="G261" i="1"/>
  <c r="I261" i="1" s="1"/>
  <c r="G262" i="1"/>
  <c r="I262" i="1" s="1"/>
  <c r="G263" i="1"/>
  <c r="I263" i="1" s="1"/>
  <c r="G264" i="1"/>
  <c r="I264" i="1" s="1"/>
  <c r="G265" i="1"/>
  <c r="I265" i="1" s="1"/>
  <c r="G266" i="1"/>
  <c r="I266" i="1" s="1"/>
  <c r="G267" i="1"/>
  <c r="I267" i="1" s="1"/>
  <c r="G268" i="1"/>
  <c r="I268" i="1" s="1"/>
  <c r="G269" i="1"/>
  <c r="I269" i="1" s="1"/>
  <c r="G270" i="1"/>
  <c r="I270" i="1" s="1"/>
  <c r="G271" i="1"/>
  <c r="I271" i="1" s="1"/>
  <c r="G272" i="1"/>
  <c r="I272" i="1" s="1"/>
  <c r="G273" i="1"/>
  <c r="I273" i="1" s="1"/>
  <c r="G274" i="1"/>
  <c r="I274" i="1" s="1"/>
  <c r="G275" i="1"/>
  <c r="I275" i="1" s="1"/>
  <c r="G276" i="1"/>
  <c r="I276" i="1" s="1"/>
  <c r="G277" i="1"/>
  <c r="I277" i="1" s="1"/>
  <c r="G278" i="1"/>
  <c r="I278" i="1" s="1"/>
  <c r="G279" i="1"/>
  <c r="I279" i="1" s="1"/>
  <c r="G280" i="1"/>
  <c r="I280" i="1" s="1"/>
  <c r="G281" i="1"/>
  <c r="I281" i="1" s="1"/>
  <c r="G282" i="1"/>
  <c r="I282" i="1" s="1"/>
  <c r="G283" i="1"/>
  <c r="I283" i="1" s="1"/>
  <c r="G284" i="1"/>
  <c r="I284" i="1" s="1"/>
  <c r="G285" i="1"/>
  <c r="I285" i="1" s="1"/>
  <c r="G286" i="1"/>
  <c r="I286" i="1" s="1"/>
  <c r="G287" i="1"/>
  <c r="I287" i="1" s="1"/>
  <c r="G288" i="1"/>
  <c r="I288" i="1" s="1"/>
  <c r="G289" i="1"/>
  <c r="I289" i="1" s="1"/>
  <c r="G290" i="1"/>
  <c r="I290" i="1" s="1"/>
  <c r="G291" i="1"/>
  <c r="I291" i="1" s="1"/>
  <c r="G292" i="1"/>
  <c r="I292" i="1" s="1"/>
  <c r="G293" i="1"/>
  <c r="I293" i="1" s="1"/>
  <c r="G294" i="1"/>
  <c r="I294" i="1" s="1"/>
  <c r="G295" i="1"/>
  <c r="I295" i="1" s="1"/>
  <c r="G296" i="1"/>
  <c r="I296" i="1" s="1"/>
  <c r="G297" i="1"/>
  <c r="I297" i="1" s="1"/>
  <c r="G298" i="1"/>
  <c r="I298" i="1" s="1"/>
  <c r="G299" i="1"/>
  <c r="I299" i="1" s="1"/>
  <c r="G300" i="1"/>
  <c r="I300" i="1" s="1"/>
  <c r="G301" i="1"/>
  <c r="I301" i="1" s="1"/>
  <c r="G302" i="1"/>
  <c r="I302" i="1" s="1"/>
  <c r="G2" i="1"/>
  <c r="I2" i="1" s="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2" i="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<sst xmlns="http://schemas.openxmlformats.org/spreadsheetml/2006/main" count="1911" uniqueCount="669">
  <si>
    <t>Item ID</t>
  </si>
  <si>
    <t>Product Name</t>
  </si>
  <si>
    <t>Category</t>
  </si>
  <si>
    <t>Supplier</t>
  </si>
  <si>
    <t>Warehouse</t>
  </si>
  <si>
    <t>Unit Price (₹)</t>
  </si>
  <si>
    <t>Quantity</t>
  </si>
  <si>
    <t>Reorder Level</t>
  </si>
  <si>
    <t>Total Sales(₹)</t>
  </si>
  <si>
    <t>Status</t>
  </si>
  <si>
    <t>Last Updated</t>
  </si>
  <si>
    <t>Region</t>
  </si>
  <si>
    <t>INV-000001</t>
  </si>
  <si>
    <t>Product_1</t>
  </si>
  <si>
    <t>Books</t>
  </si>
  <si>
    <t>FastSource</t>
  </si>
  <si>
    <t>WH-Mumbai</t>
  </si>
  <si>
    <t>In Stock</t>
  </si>
  <si>
    <t>INV-000002</t>
  </si>
  <si>
    <t>Product_2</t>
  </si>
  <si>
    <t>Furniture</t>
  </si>
  <si>
    <t>SupplyCo</t>
  </si>
  <si>
    <t>WH-Ahmedabad</t>
  </si>
  <si>
    <t>Low Stock</t>
  </si>
  <si>
    <t>INV-000003</t>
  </si>
  <si>
    <t>Product_3</t>
  </si>
  <si>
    <t>Tools</t>
  </si>
  <si>
    <t>ZenithSupply</t>
  </si>
  <si>
    <t>WH-Bangalore</t>
  </si>
  <si>
    <t>Discontinued</t>
  </si>
  <si>
    <t>INV-000004</t>
  </si>
  <si>
    <t>Product_4</t>
  </si>
  <si>
    <t>Sports</t>
  </si>
  <si>
    <t>AlphaGoods</t>
  </si>
  <si>
    <t>INV-000005</t>
  </si>
  <si>
    <t>Product_5</t>
  </si>
  <si>
    <t>INV-000006</t>
  </si>
  <si>
    <t>Product_6</t>
  </si>
  <si>
    <t>Automotive</t>
  </si>
  <si>
    <t>INV-000007</t>
  </si>
  <si>
    <t>Product_7</t>
  </si>
  <si>
    <t>Food &amp; Beverage</t>
  </si>
  <si>
    <t>QuickStock</t>
  </si>
  <si>
    <t>WH-Chennai</t>
  </si>
  <si>
    <t>INV-000008</t>
  </si>
  <si>
    <t>Product_8</t>
  </si>
  <si>
    <t>INV-000009</t>
  </si>
  <si>
    <t>Product_9</t>
  </si>
  <si>
    <t>MegaSupply</t>
  </si>
  <si>
    <t>INV-000010</t>
  </si>
  <si>
    <t>Product_10</t>
  </si>
  <si>
    <t>PrimeParts</t>
  </si>
  <si>
    <t>INV-000011</t>
  </si>
  <si>
    <t>Product_11</t>
  </si>
  <si>
    <t>INV-000012</t>
  </si>
  <si>
    <t>Product_12</t>
  </si>
  <si>
    <t>INV-000013</t>
  </si>
  <si>
    <t>Product_13</t>
  </si>
  <si>
    <t>INV-000014</t>
  </si>
  <si>
    <t>Product_14</t>
  </si>
  <si>
    <t>INV-000015</t>
  </si>
  <si>
    <t>Product_15</t>
  </si>
  <si>
    <t>Toys</t>
  </si>
  <si>
    <t>INV-000016</t>
  </si>
  <si>
    <t>Product_16</t>
  </si>
  <si>
    <t>INV-000017</t>
  </si>
  <si>
    <t>Product_17</t>
  </si>
  <si>
    <t>Clothing</t>
  </si>
  <si>
    <t>INV-000018</t>
  </si>
  <si>
    <t>Product_18</t>
  </si>
  <si>
    <t>INV-000019</t>
  </si>
  <si>
    <t>Product_19</t>
  </si>
  <si>
    <t>GlobalTrade</t>
  </si>
  <si>
    <t>INV-000020</t>
  </si>
  <si>
    <t>Product_20</t>
  </si>
  <si>
    <t>INV-000021</t>
  </si>
  <si>
    <t>Product_21</t>
  </si>
  <si>
    <t>Out of Stock</t>
  </si>
  <si>
    <t>INV-000022</t>
  </si>
  <si>
    <t>Product_22</t>
  </si>
  <si>
    <t>Electronics</t>
  </si>
  <si>
    <t>INV-000023</t>
  </si>
  <si>
    <t>Product_23</t>
  </si>
  <si>
    <t>INV-000024</t>
  </si>
  <si>
    <t>Product_24</t>
  </si>
  <si>
    <t>INV-000025</t>
  </si>
  <si>
    <t>Product_25</t>
  </si>
  <si>
    <t>Cosmetics</t>
  </si>
  <si>
    <t>WH-Kolkata</t>
  </si>
  <si>
    <t>INV-000026</t>
  </si>
  <si>
    <t>Product_26</t>
  </si>
  <si>
    <t>INV-000027</t>
  </si>
  <si>
    <t>Product_27</t>
  </si>
  <si>
    <t>WH-Delhi</t>
  </si>
  <si>
    <t>INV-000028</t>
  </si>
  <si>
    <t>Product_28</t>
  </si>
  <si>
    <t>INV-000029</t>
  </si>
  <si>
    <t>Product_29</t>
  </si>
  <si>
    <t>INV-000030</t>
  </si>
  <si>
    <t>Product_30</t>
  </si>
  <si>
    <t>INV-000031</t>
  </si>
  <si>
    <t>Product_31</t>
  </si>
  <si>
    <t>INV-000032</t>
  </si>
  <si>
    <t>Product_32</t>
  </si>
  <si>
    <t>INV-000033</t>
  </si>
  <si>
    <t>Product_33</t>
  </si>
  <si>
    <t>INV-000034</t>
  </si>
  <si>
    <t>Product_34</t>
  </si>
  <si>
    <t>INV-000035</t>
  </si>
  <si>
    <t>Product_35</t>
  </si>
  <si>
    <t>INV-000036</t>
  </si>
  <si>
    <t>Product_36</t>
  </si>
  <si>
    <t>INV-000037</t>
  </si>
  <si>
    <t>Product_37</t>
  </si>
  <si>
    <t>INV-000038</t>
  </si>
  <si>
    <t>Product_38</t>
  </si>
  <si>
    <t>INV-000039</t>
  </si>
  <si>
    <t>Product_39</t>
  </si>
  <si>
    <t>INV-000040</t>
  </si>
  <si>
    <t>Product_40</t>
  </si>
  <si>
    <t>INV-000041</t>
  </si>
  <si>
    <t>Product_41</t>
  </si>
  <si>
    <t>INV-000042</t>
  </si>
  <si>
    <t>Product_42</t>
  </si>
  <si>
    <t>INV-000043</t>
  </si>
  <si>
    <t>Product_43</t>
  </si>
  <si>
    <t>INV-000044</t>
  </si>
  <si>
    <t>Product_44</t>
  </si>
  <si>
    <t>INV-000045</t>
  </si>
  <si>
    <t>Product_45</t>
  </si>
  <si>
    <t>INV-000046</t>
  </si>
  <si>
    <t>Product_46</t>
  </si>
  <si>
    <t>INV-000047</t>
  </si>
  <si>
    <t>Product_47</t>
  </si>
  <si>
    <t>INV-000048</t>
  </si>
  <si>
    <t>Product_48</t>
  </si>
  <si>
    <t>INV-000049</t>
  </si>
  <si>
    <t>Product_49</t>
  </si>
  <si>
    <t>INV-000050</t>
  </si>
  <si>
    <t>Product_50</t>
  </si>
  <si>
    <t>INV-000051</t>
  </si>
  <si>
    <t>Product_51</t>
  </si>
  <si>
    <t>INV-000052</t>
  </si>
  <si>
    <t>Product_52</t>
  </si>
  <si>
    <t>INV-000053</t>
  </si>
  <si>
    <t>Product_53</t>
  </si>
  <si>
    <t>INV-000054</t>
  </si>
  <si>
    <t>Product_54</t>
  </si>
  <si>
    <t>INV-000055</t>
  </si>
  <si>
    <t>Product_55</t>
  </si>
  <si>
    <t>INV-000056</t>
  </si>
  <si>
    <t>Product_56</t>
  </si>
  <si>
    <t>INV-000057</t>
  </si>
  <si>
    <t>Product_57</t>
  </si>
  <si>
    <t>INV-000058</t>
  </si>
  <si>
    <t>Product_58</t>
  </si>
  <si>
    <t>INV-000059</t>
  </si>
  <si>
    <t>Product_59</t>
  </si>
  <si>
    <t>INV-000060</t>
  </si>
  <si>
    <t>Product_60</t>
  </si>
  <si>
    <t>INV-000061</t>
  </si>
  <si>
    <t>Product_61</t>
  </si>
  <si>
    <t>INV-000062</t>
  </si>
  <si>
    <t>Product_62</t>
  </si>
  <si>
    <t>INV-000063</t>
  </si>
  <si>
    <t>Product_63</t>
  </si>
  <si>
    <t>INV-000064</t>
  </si>
  <si>
    <t>Product_64</t>
  </si>
  <si>
    <t>INV-000065</t>
  </si>
  <si>
    <t>Product_65</t>
  </si>
  <si>
    <t>INV-000066</t>
  </si>
  <si>
    <t>Product_66</t>
  </si>
  <si>
    <t>INV-000067</t>
  </si>
  <si>
    <t>Product_67</t>
  </si>
  <si>
    <t>INV-000068</t>
  </si>
  <si>
    <t>Product_68</t>
  </si>
  <si>
    <t>INV-000069</t>
  </si>
  <si>
    <t>Product_69</t>
  </si>
  <si>
    <t>INV-000070</t>
  </si>
  <si>
    <t>Product_70</t>
  </si>
  <si>
    <t>INV-000071</t>
  </si>
  <si>
    <t>Product_71</t>
  </si>
  <si>
    <t>INV-000072</t>
  </si>
  <si>
    <t>Product_72</t>
  </si>
  <si>
    <t>INV-000073</t>
  </si>
  <si>
    <t>Product_73</t>
  </si>
  <si>
    <t>INV-000074</t>
  </si>
  <si>
    <t>Product_74</t>
  </si>
  <si>
    <t>INV-000075</t>
  </si>
  <si>
    <t>Product_75</t>
  </si>
  <si>
    <t>INV-000076</t>
  </si>
  <si>
    <t>Product_76</t>
  </si>
  <si>
    <t>INV-000077</t>
  </si>
  <si>
    <t>Product_77</t>
  </si>
  <si>
    <t>INV-000078</t>
  </si>
  <si>
    <t>Product_78</t>
  </si>
  <si>
    <t>INV-000079</t>
  </si>
  <si>
    <t>Product_79</t>
  </si>
  <si>
    <t>INV-000080</t>
  </si>
  <si>
    <t>Product_80</t>
  </si>
  <si>
    <t>INV-000081</t>
  </si>
  <si>
    <t>Product_81</t>
  </si>
  <si>
    <t>INV-000082</t>
  </si>
  <si>
    <t>Product_82</t>
  </si>
  <si>
    <t>INV-000083</t>
  </si>
  <si>
    <t>Product_83</t>
  </si>
  <si>
    <t>INV-000084</t>
  </si>
  <si>
    <t>Product_84</t>
  </si>
  <si>
    <t>INV-000085</t>
  </si>
  <si>
    <t>Product_85</t>
  </si>
  <si>
    <t>INV-000086</t>
  </si>
  <si>
    <t>Product_86</t>
  </si>
  <si>
    <t>INV-000087</t>
  </si>
  <si>
    <t>Product_87</t>
  </si>
  <si>
    <t>INV-000088</t>
  </si>
  <si>
    <t>Product_88</t>
  </si>
  <si>
    <t>INV-000089</t>
  </si>
  <si>
    <t>Product_89</t>
  </si>
  <si>
    <t>INV-000090</t>
  </si>
  <si>
    <t>Product_90</t>
  </si>
  <si>
    <t>INV-000091</t>
  </si>
  <si>
    <t>Product_91</t>
  </si>
  <si>
    <t>INV-000092</t>
  </si>
  <si>
    <t>Product_92</t>
  </si>
  <si>
    <t>INV-000093</t>
  </si>
  <si>
    <t>Product_93</t>
  </si>
  <si>
    <t>INV-000094</t>
  </si>
  <si>
    <t>Product_94</t>
  </si>
  <si>
    <t>INV-000095</t>
  </si>
  <si>
    <t>Product_95</t>
  </si>
  <si>
    <t>INV-000096</t>
  </si>
  <si>
    <t>Product_96</t>
  </si>
  <si>
    <t>INV-000097</t>
  </si>
  <si>
    <t>Product_97</t>
  </si>
  <si>
    <t>INV-000098</t>
  </si>
  <si>
    <t>Product_98</t>
  </si>
  <si>
    <t>INV-000099</t>
  </si>
  <si>
    <t>Product_99</t>
  </si>
  <si>
    <t>INV-000100</t>
  </si>
  <si>
    <t>Product_100</t>
  </si>
  <si>
    <t>INV-000101</t>
  </si>
  <si>
    <t>Product_101</t>
  </si>
  <si>
    <t>INV-000102</t>
  </si>
  <si>
    <t>Product_102</t>
  </si>
  <si>
    <t>INV-000103</t>
  </si>
  <si>
    <t>Product_103</t>
  </si>
  <si>
    <t>INV-000104</t>
  </si>
  <si>
    <t>Product_104</t>
  </si>
  <si>
    <t>INV-000105</t>
  </si>
  <si>
    <t>Product_105</t>
  </si>
  <si>
    <t>INV-000106</t>
  </si>
  <si>
    <t>Product_106</t>
  </si>
  <si>
    <t>INV-000107</t>
  </si>
  <si>
    <t>Product_107</t>
  </si>
  <si>
    <t>INV-000108</t>
  </si>
  <si>
    <t>Product_108</t>
  </si>
  <si>
    <t>INV-000109</t>
  </si>
  <si>
    <t>Product_109</t>
  </si>
  <si>
    <t>INV-000110</t>
  </si>
  <si>
    <t>Product_110</t>
  </si>
  <si>
    <t>INV-000111</t>
  </si>
  <si>
    <t>Product_111</t>
  </si>
  <si>
    <t>INV-000112</t>
  </si>
  <si>
    <t>Product_112</t>
  </si>
  <si>
    <t>INV-000113</t>
  </si>
  <si>
    <t>Product_113</t>
  </si>
  <si>
    <t>INV-000114</t>
  </si>
  <si>
    <t>Product_114</t>
  </si>
  <si>
    <t>INV-000115</t>
  </si>
  <si>
    <t>Product_115</t>
  </si>
  <si>
    <t>INV-000116</t>
  </si>
  <si>
    <t>Product_116</t>
  </si>
  <si>
    <t>INV-000117</t>
  </si>
  <si>
    <t>Product_117</t>
  </si>
  <si>
    <t>INV-000118</t>
  </si>
  <si>
    <t>Product_118</t>
  </si>
  <si>
    <t>INV-000119</t>
  </si>
  <si>
    <t>Product_119</t>
  </si>
  <si>
    <t>INV-000120</t>
  </si>
  <si>
    <t>Product_120</t>
  </si>
  <si>
    <t>INV-000121</t>
  </si>
  <si>
    <t>Product_121</t>
  </si>
  <si>
    <t>INV-000122</t>
  </si>
  <si>
    <t>Product_122</t>
  </si>
  <si>
    <t>INV-000123</t>
  </si>
  <si>
    <t>Product_123</t>
  </si>
  <si>
    <t>INV-000124</t>
  </si>
  <si>
    <t>Product_124</t>
  </si>
  <si>
    <t>INV-000125</t>
  </si>
  <si>
    <t>Product_125</t>
  </si>
  <si>
    <t>INV-000126</t>
  </si>
  <si>
    <t>Product_126</t>
  </si>
  <si>
    <t>INV-000127</t>
  </si>
  <si>
    <t>Product_127</t>
  </si>
  <si>
    <t>INV-000128</t>
  </si>
  <si>
    <t>Product_128</t>
  </si>
  <si>
    <t>INV-000129</t>
  </si>
  <si>
    <t>Product_129</t>
  </si>
  <si>
    <t>INV-000130</t>
  </si>
  <si>
    <t>Product_130</t>
  </si>
  <si>
    <t>INV-000131</t>
  </si>
  <si>
    <t>Product_131</t>
  </si>
  <si>
    <t>INV-000132</t>
  </si>
  <si>
    <t>Product_132</t>
  </si>
  <si>
    <t>INV-000133</t>
  </si>
  <si>
    <t>Product_133</t>
  </si>
  <si>
    <t>INV-000134</t>
  </si>
  <si>
    <t>Product_134</t>
  </si>
  <si>
    <t>INV-000135</t>
  </si>
  <si>
    <t>Product_135</t>
  </si>
  <si>
    <t>INV-000136</t>
  </si>
  <si>
    <t>Product_136</t>
  </si>
  <si>
    <t>INV-000137</t>
  </si>
  <si>
    <t>Product_137</t>
  </si>
  <si>
    <t>INV-000138</t>
  </si>
  <si>
    <t>Product_138</t>
  </si>
  <si>
    <t>INV-000139</t>
  </si>
  <si>
    <t>Product_139</t>
  </si>
  <si>
    <t>INV-000140</t>
  </si>
  <si>
    <t>Product_140</t>
  </si>
  <si>
    <t>INV-000141</t>
  </si>
  <si>
    <t>Product_141</t>
  </si>
  <si>
    <t>INV-000142</t>
  </si>
  <si>
    <t>Product_142</t>
  </si>
  <si>
    <t>INV-000143</t>
  </si>
  <si>
    <t>Product_143</t>
  </si>
  <si>
    <t>INV-000144</t>
  </si>
  <si>
    <t>Product_144</t>
  </si>
  <si>
    <t>INV-000145</t>
  </si>
  <si>
    <t>Product_145</t>
  </si>
  <si>
    <t>INV-000146</t>
  </si>
  <si>
    <t>Product_146</t>
  </si>
  <si>
    <t>INV-000147</t>
  </si>
  <si>
    <t>Product_147</t>
  </si>
  <si>
    <t>INV-000148</t>
  </si>
  <si>
    <t>Product_148</t>
  </si>
  <si>
    <t>INV-000149</t>
  </si>
  <si>
    <t>Product_149</t>
  </si>
  <si>
    <t>INV-000150</t>
  </si>
  <si>
    <t>Product_150</t>
  </si>
  <si>
    <t>INV-000151</t>
  </si>
  <si>
    <t>Product_151</t>
  </si>
  <si>
    <t>INV-000152</t>
  </si>
  <si>
    <t>Product_152</t>
  </si>
  <si>
    <t>INV-000153</t>
  </si>
  <si>
    <t>Product_153</t>
  </si>
  <si>
    <t>INV-000154</t>
  </si>
  <si>
    <t>Product_154</t>
  </si>
  <si>
    <t>INV-000155</t>
  </si>
  <si>
    <t>Product_155</t>
  </si>
  <si>
    <t>INV-000156</t>
  </si>
  <si>
    <t>Product_156</t>
  </si>
  <si>
    <t>INV-000157</t>
  </si>
  <si>
    <t>Product_157</t>
  </si>
  <si>
    <t>INV-000158</t>
  </si>
  <si>
    <t>Product_158</t>
  </si>
  <si>
    <t>INV-000159</t>
  </si>
  <si>
    <t>Product_159</t>
  </si>
  <si>
    <t>INV-000160</t>
  </si>
  <si>
    <t>Product_160</t>
  </si>
  <si>
    <t>INV-000161</t>
  </si>
  <si>
    <t>Product_161</t>
  </si>
  <si>
    <t>INV-000162</t>
  </si>
  <si>
    <t>Product_162</t>
  </si>
  <si>
    <t>INV-000163</t>
  </si>
  <si>
    <t>Product_163</t>
  </si>
  <si>
    <t>INV-000164</t>
  </si>
  <si>
    <t>Product_164</t>
  </si>
  <si>
    <t>INV-000165</t>
  </si>
  <si>
    <t>Product_165</t>
  </si>
  <si>
    <t>INV-000166</t>
  </si>
  <si>
    <t>Product_166</t>
  </si>
  <si>
    <t>INV-000167</t>
  </si>
  <si>
    <t>Product_167</t>
  </si>
  <si>
    <t>INV-000168</t>
  </si>
  <si>
    <t>Product_168</t>
  </si>
  <si>
    <t>INV-000169</t>
  </si>
  <si>
    <t>Product_169</t>
  </si>
  <si>
    <t>INV-000170</t>
  </si>
  <si>
    <t>Product_170</t>
  </si>
  <si>
    <t>INV-000171</t>
  </si>
  <si>
    <t>Product_171</t>
  </si>
  <si>
    <t>INV-000172</t>
  </si>
  <si>
    <t>Product_172</t>
  </si>
  <si>
    <t>INV-000173</t>
  </si>
  <si>
    <t>Product_173</t>
  </si>
  <si>
    <t>INV-000174</t>
  </si>
  <si>
    <t>Product_174</t>
  </si>
  <si>
    <t>INV-000175</t>
  </si>
  <si>
    <t>Product_175</t>
  </si>
  <si>
    <t>INV-000176</t>
  </si>
  <si>
    <t>Product_176</t>
  </si>
  <si>
    <t>INV-000177</t>
  </si>
  <si>
    <t>Product_177</t>
  </si>
  <si>
    <t>INV-000178</t>
  </si>
  <si>
    <t>Product_178</t>
  </si>
  <si>
    <t>INV-000179</t>
  </si>
  <si>
    <t>Product_179</t>
  </si>
  <si>
    <t>INV-000180</t>
  </si>
  <si>
    <t>Product_180</t>
  </si>
  <si>
    <t>INV-000181</t>
  </si>
  <si>
    <t>Product_181</t>
  </si>
  <si>
    <t>INV-000182</t>
  </si>
  <si>
    <t>Product_182</t>
  </si>
  <si>
    <t>INV-000183</t>
  </si>
  <si>
    <t>Product_183</t>
  </si>
  <si>
    <t>INV-000184</t>
  </si>
  <si>
    <t>Product_184</t>
  </si>
  <si>
    <t>INV-000185</t>
  </si>
  <si>
    <t>Product_185</t>
  </si>
  <si>
    <t>INV-000186</t>
  </si>
  <si>
    <t>Product_186</t>
  </si>
  <si>
    <t>INV-000187</t>
  </si>
  <si>
    <t>Product_187</t>
  </si>
  <si>
    <t>INV-000188</t>
  </si>
  <si>
    <t>Product_188</t>
  </si>
  <si>
    <t>INV-000189</t>
  </si>
  <si>
    <t>Product_189</t>
  </si>
  <si>
    <t>INV-000190</t>
  </si>
  <si>
    <t>Product_190</t>
  </si>
  <si>
    <t>INV-000191</t>
  </si>
  <si>
    <t>Product_191</t>
  </si>
  <si>
    <t>INV-000192</t>
  </si>
  <si>
    <t>Product_192</t>
  </si>
  <si>
    <t>INV-000193</t>
  </si>
  <si>
    <t>Product_193</t>
  </si>
  <si>
    <t>INV-000194</t>
  </si>
  <si>
    <t>Product_194</t>
  </si>
  <si>
    <t>INV-000195</t>
  </si>
  <si>
    <t>Product_195</t>
  </si>
  <si>
    <t>INV-000196</t>
  </si>
  <si>
    <t>Product_196</t>
  </si>
  <si>
    <t>INV-000197</t>
  </si>
  <si>
    <t>Product_197</t>
  </si>
  <si>
    <t>INV-000198</t>
  </si>
  <si>
    <t>Product_198</t>
  </si>
  <si>
    <t>INV-000199</t>
  </si>
  <si>
    <t>Product_199</t>
  </si>
  <si>
    <t>INV-000200</t>
  </si>
  <si>
    <t>Product_200</t>
  </si>
  <si>
    <t>INV-000201</t>
  </si>
  <si>
    <t>Product_201</t>
  </si>
  <si>
    <t>INV-000202</t>
  </si>
  <si>
    <t>Product_202</t>
  </si>
  <si>
    <t>INV-000203</t>
  </si>
  <si>
    <t>Product_203</t>
  </si>
  <si>
    <t>INV-000204</t>
  </si>
  <si>
    <t>Product_204</t>
  </si>
  <si>
    <t>INV-000205</t>
  </si>
  <si>
    <t>Product_205</t>
  </si>
  <si>
    <t>INV-000206</t>
  </si>
  <si>
    <t>Product_206</t>
  </si>
  <si>
    <t>INV-000207</t>
  </si>
  <si>
    <t>Product_207</t>
  </si>
  <si>
    <t>INV-000208</t>
  </si>
  <si>
    <t>Product_208</t>
  </si>
  <si>
    <t>INV-000209</t>
  </si>
  <si>
    <t>Product_209</t>
  </si>
  <si>
    <t>INV-000210</t>
  </si>
  <si>
    <t>Product_210</t>
  </si>
  <si>
    <t>INV-000211</t>
  </si>
  <si>
    <t>Product_211</t>
  </si>
  <si>
    <t>INV-000212</t>
  </si>
  <si>
    <t>Product_212</t>
  </si>
  <si>
    <t>INV-000213</t>
  </si>
  <si>
    <t>Product_213</t>
  </si>
  <si>
    <t>INV-000214</t>
  </si>
  <si>
    <t>Product_214</t>
  </si>
  <si>
    <t>INV-000215</t>
  </si>
  <si>
    <t>Product_215</t>
  </si>
  <si>
    <t>INV-000216</t>
  </si>
  <si>
    <t>Product_216</t>
  </si>
  <si>
    <t>INV-000217</t>
  </si>
  <si>
    <t>Product_217</t>
  </si>
  <si>
    <t>INV-000218</t>
  </si>
  <si>
    <t>Product_218</t>
  </si>
  <si>
    <t>INV-000219</t>
  </si>
  <si>
    <t>Product_219</t>
  </si>
  <si>
    <t>INV-000220</t>
  </si>
  <si>
    <t>Product_220</t>
  </si>
  <si>
    <t>INV-000221</t>
  </si>
  <si>
    <t>Product_221</t>
  </si>
  <si>
    <t>INV-000222</t>
  </si>
  <si>
    <t>Product_222</t>
  </si>
  <si>
    <t>INV-000223</t>
  </si>
  <si>
    <t>Product_223</t>
  </si>
  <si>
    <t>INV-000224</t>
  </si>
  <si>
    <t>Product_224</t>
  </si>
  <si>
    <t>INV-000225</t>
  </si>
  <si>
    <t>Product_225</t>
  </si>
  <si>
    <t>INV-000226</t>
  </si>
  <si>
    <t>Product_226</t>
  </si>
  <si>
    <t>INV-000227</t>
  </si>
  <si>
    <t>Product_227</t>
  </si>
  <si>
    <t>INV-000228</t>
  </si>
  <si>
    <t>Product_228</t>
  </si>
  <si>
    <t>INV-000229</t>
  </si>
  <si>
    <t>Product_229</t>
  </si>
  <si>
    <t>INV-000230</t>
  </si>
  <si>
    <t>Product_230</t>
  </si>
  <si>
    <t>INV-000231</t>
  </si>
  <si>
    <t>Product_231</t>
  </si>
  <si>
    <t>INV-000232</t>
  </si>
  <si>
    <t>Product_232</t>
  </si>
  <si>
    <t>INV-000233</t>
  </si>
  <si>
    <t>Product_233</t>
  </si>
  <si>
    <t>INV-000234</t>
  </si>
  <si>
    <t>Product_234</t>
  </si>
  <si>
    <t>INV-000235</t>
  </si>
  <si>
    <t>Product_235</t>
  </si>
  <si>
    <t>INV-000236</t>
  </si>
  <si>
    <t>Product_236</t>
  </si>
  <si>
    <t>INV-000237</t>
  </si>
  <si>
    <t>Product_237</t>
  </si>
  <si>
    <t>INV-000238</t>
  </si>
  <si>
    <t>Product_238</t>
  </si>
  <si>
    <t>INV-000239</t>
  </si>
  <si>
    <t>Product_239</t>
  </si>
  <si>
    <t>INV-000240</t>
  </si>
  <si>
    <t>Product_240</t>
  </si>
  <si>
    <t>INV-000241</t>
  </si>
  <si>
    <t>Product_241</t>
  </si>
  <si>
    <t>INV-000242</t>
  </si>
  <si>
    <t>Product_242</t>
  </si>
  <si>
    <t>INV-000243</t>
  </si>
  <si>
    <t>Product_243</t>
  </si>
  <si>
    <t>INV-000244</t>
  </si>
  <si>
    <t>Product_244</t>
  </si>
  <si>
    <t>INV-000245</t>
  </si>
  <si>
    <t>Product_245</t>
  </si>
  <si>
    <t>INV-000246</t>
  </si>
  <si>
    <t>Product_246</t>
  </si>
  <si>
    <t>INV-000247</t>
  </si>
  <si>
    <t>Product_247</t>
  </si>
  <si>
    <t>INV-000248</t>
  </si>
  <si>
    <t>Product_248</t>
  </si>
  <si>
    <t>INV-000249</t>
  </si>
  <si>
    <t>Product_249</t>
  </si>
  <si>
    <t>INV-000250</t>
  </si>
  <si>
    <t>Product_250</t>
  </si>
  <si>
    <t>INV-000251</t>
  </si>
  <si>
    <t>Product_251</t>
  </si>
  <si>
    <t>INV-000252</t>
  </si>
  <si>
    <t>Product_252</t>
  </si>
  <si>
    <t>INV-000253</t>
  </si>
  <si>
    <t>Product_253</t>
  </si>
  <si>
    <t>INV-000254</t>
  </si>
  <si>
    <t>Product_254</t>
  </si>
  <si>
    <t>INV-000255</t>
  </si>
  <si>
    <t>Product_255</t>
  </si>
  <si>
    <t>INV-000256</t>
  </si>
  <si>
    <t>Product_256</t>
  </si>
  <si>
    <t>INV-000257</t>
  </si>
  <si>
    <t>Product_257</t>
  </si>
  <si>
    <t>INV-000258</t>
  </si>
  <si>
    <t>Product_258</t>
  </si>
  <si>
    <t>INV-000259</t>
  </si>
  <si>
    <t>Product_259</t>
  </si>
  <si>
    <t>INV-000260</t>
  </si>
  <si>
    <t>Product_260</t>
  </si>
  <si>
    <t>INV-000261</t>
  </si>
  <si>
    <t>Product_261</t>
  </si>
  <si>
    <t>INV-000262</t>
  </si>
  <si>
    <t>Product_262</t>
  </si>
  <si>
    <t>INV-000263</t>
  </si>
  <si>
    <t>Product_263</t>
  </si>
  <si>
    <t>INV-000264</t>
  </si>
  <si>
    <t>Product_264</t>
  </si>
  <si>
    <t>INV-000265</t>
  </si>
  <si>
    <t>Product_265</t>
  </si>
  <si>
    <t>INV-000266</t>
  </si>
  <si>
    <t>Product_266</t>
  </si>
  <si>
    <t>INV-000267</t>
  </si>
  <si>
    <t>Product_267</t>
  </si>
  <si>
    <t>INV-000268</t>
  </si>
  <si>
    <t>Product_268</t>
  </si>
  <si>
    <t>INV-000269</t>
  </si>
  <si>
    <t>Product_269</t>
  </si>
  <si>
    <t>INV-000270</t>
  </si>
  <si>
    <t>Product_270</t>
  </si>
  <si>
    <t>INV-000271</t>
  </si>
  <si>
    <t>Product_271</t>
  </si>
  <si>
    <t>INV-000272</t>
  </si>
  <si>
    <t>Product_272</t>
  </si>
  <si>
    <t>INV-000273</t>
  </si>
  <si>
    <t>Product_273</t>
  </si>
  <si>
    <t>INV-000274</t>
  </si>
  <si>
    <t>Product_274</t>
  </si>
  <si>
    <t>INV-000275</t>
  </si>
  <si>
    <t>Product_275</t>
  </si>
  <si>
    <t>INV-000276</t>
  </si>
  <si>
    <t>Product_276</t>
  </si>
  <si>
    <t>INV-000277</t>
  </si>
  <si>
    <t>Product_277</t>
  </si>
  <si>
    <t>INV-000278</t>
  </si>
  <si>
    <t>Product_278</t>
  </si>
  <si>
    <t>INV-000279</t>
  </si>
  <si>
    <t>Product_279</t>
  </si>
  <si>
    <t>INV-000280</t>
  </si>
  <si>
    <t>Product_280</t>
  </si>
  <si>
    <t>INV-000281</t>
  </si>
  <si>
    <t>Product_281</t>
  </si>
  <si>
    <t>INV-000282</t>
  </si>
  <si>
    <t>Product_282</t>
  </si>
  <si>
    <t>INV-000283</t>
  </si>
  <si>
    <t>Product_283</t>
  </si>
  <si>
    <t>INV-000284</t>
  </si>
  <si>
    <t>Product_284</t>
  </si>
  <si>
    <t>INV-000285</t>
  </si>
  <si>
    <t>Product_285</t>
  </si>
  <si>
    <t>INV-000286</t>
  </si>
  <si>
    <t>Product_286</t>
  </si>
  <si>
    <t>INV-000287</t>
  </si>
  <si>
    <t>Product_287</t>
  </si>
  <si>
    <t>INV-000288</t>
  </si>
  <si>
    <t>Product_288</t>
  </si>
  <si>
    <t>INV-000289</t>
  </si>
  <si>
    <t>Product_289</t>
  </si>
  <si>
    <t>INV-000290</t>
  </si>
  <si>
    <t>Product_290</t>
  </si>
  <si>
    <t>INV-000291</t>
  </si>
  <si>
    <t>Product_291</t>
  </si>
  <si>
    <t>INV-000292</t>
  </si>
  <si>
    <t>Product_292</t>
  </si>
  <si>
    <t>INV-000293</t>
  </si>
  <si>
    <t>Product_293</t>
  </si>
  <si>
    <t>INV-000294</t>
  </si>
  <si>
    <t>Product_294</t>
  </si>
  <si>
    <t>INV-000295</t>
  </si>
  <si>
    <t>Product_295</t>
  </si>
  <si>
    <t>INV-000296</t>
  </si>
  <si>
    <t>Product_296</t>
  </si>
  <si>
    <t>INV-000297</t>
  </si>
  <si>
    <t>Product_297</t>
  </si>
  <si>
    <t>INV-000298</t>
  </si>
  <si>
    <t>Product_298</t>
  </si>
  <si>
    <t>INV-000299</t>
  </si>
  <si>
    <t>Product_299</t>
  </si>
  <si>
    <t>INV-000300</t>
  </si>
  <si>
    <t>Product_300</t>
  </si>
  <si>
    <t>INV-000301</t>
  </si>
  <si>
    <t>Product_301</t>
  </si>
  <si>
    <t>📌 Showing 1,000 of 50,000 records | Total Records: 50,000 | Categories: 10 | Warehouses: 6 | Suppliers: 8</t>
  </si>
  <si>
    <t>TASK 3: Pivot Tables — Data Analysis &amp; Summarization</t>
  </si>
  <si>
    <t xml:space="preserve"> Category-wise Summary</t>
  </si>
  <si>
    <t xml:space="preserve"> Warehouse-wise Summary</t>
  </si>
  <si>
    <t>Total Value (₹)</t>
  </si>
  <si>
    <t>Avg Unit Price (₹)</t>
  </si>
  <si>
    <t>Total Quantity</t>
  </si>
  <si>
    <t>No. of Items</t>
  </si>
  <si>
    <t>Avg Quantity</t>
  </si>
  <si>
    <t>Total Qty</t>
  </si>
  <si>
    <t>Avg Price (₹)</t>
  </si>
  <si>
    <t>GRAND TOTAL</t>
  </si>
  <si>
    <t xml:space="preserve"> Status-wise Summary</t>
  </si>
  <si>
    <t>Count</t>
  </si>
  <si>
    <t>% of Total</t>
  </si>
  <si>
    <t>Sum of Total Sales(₹)</t>
  </si>
  <si>
    <t>West</t>
  </si>
  <si>
    <t>East</t>
  </si>
  <si>
    <t>South</t>
  </si>
  <si>
    <t>North</t>
  </si>
  <si>
    <t>Grand Total</t>
  </si>
  <si>
    <t>Row Labels</t>
  </si>
  <si>
    <t>Total Revenue</t>
  </si>
  <si>
    <t>Top Product</t>
  </si>
  <si>
    <t>Total Unit Sold</t>
  </si>
  <si>
    <t>AOV</t>
  </si>
  <si>
    <t>Inventory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</si>
</sst>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quot;₹&quot;\ #,##0"/>
  </numFmts>
  <fonts count="13" x14ac:knownFonts="1">
    <font>
      <sz val="11"/>
      <color theme="1"/>
      <name val="Calibri"/>
      <family val="2"/>
      <charset val="1"/>
    </font>
    <font>
      <b/>
      <sz val="14"/>
      <color rgb="FFFFFFFF"/>
      <name val="Arial"/>
      <charset val="1"/>
    </font>
    <font>
      <b/>
      <sz val="9"/>
      <color rgb="FFFFFFFF"/>
      <name val="Arial"/>
      <charset val="1"/>
    </font>
    <font>
      <sz val="9"/>
      <color rgb="FF000000"/>
      <name val="Arial"/>
      <charset val="1"/>
    </font>
    <font>
      <i/>
      <sz val="9"/>
      <color rgb="FF2E75B6"/>
      <name val="Arial"/>
      <charset val="1"/>
    </font>
    <font>
      <b/>
      <sz val="11"/>
      <color rgb="FF1F3864"/>
      <name val="Arial"/>
      <charset val="1"/>
    </font>
    <font>
      <b/>
      <sz val="11"/>
      <color rgb="FF1F3864"/>
      <name val="Arial"/>
      <family val="2"/>
    </font>
    <font>
      <b/>
      <sz val="11"/>
      <color theme="1"/>
      <name val="Calibri"/>
      <family val="2"/>
    </font>
    <font>
      <b/>
      <sz val="12"/>
      <color theme="1"/>
      <name val="Calibri"/>
      <family val="2"/>
    </font>
    <font>
      <sz val="9"/>
      <name val="Arial"/>
      <family val="2"/>
    </font>
    <font>
      <b/>
      <sz val="11"/>
      <color theme="0"/>
      <name val="Calibri"/>
      <family val="2"/>
    </font>
    <font>
      <b/>
      <sz val="36"/>
      <color theme="0"/>
      <name val="Calibri"/>
      <family val="2"/>
    </font>
    <font>
      <sz val="36"/>
      <color theme="1"/>
      <name val="Calibri"/>
      <family val="2"/>
    </font>
  </fonts>
  <fills count="18">
    <fill>
      <patternFill patternType="none"/>
    </fill>
    <fill>
      <patternFill patternType="gray125"/>
    </fill>
    <fill>
      <patternFill patternType="solid">
        <fgColor rgb="FF1F3864"/>
        <bgColor rgb="FF375623"/>
      </patternFill>
    </fill>
    <fill>
      <patternFill patternType="solid">
        <fgColor rgb="FF2E75B6"/>
        <bgColor rgb="FF4F81BD"/>
      </patternFill>
    </fill>
    <fill>
      <patternFill patternType="solid">
        <fgColor rgb="FFF2F2F2"/>
        <bgColor rgb="FFE2EFDA"/>
      </patternFill>
    </fill>
    <fill>
      <patternFill patternType="solid">
        <fgColor rgb="FFBDD7EE"/>
        <bgColor rgb="FFD9D9D9"/>
      </patternFill>
    </fill>
    <fill>
      <patternFill patternType="solid">
        <fgColor theme="0"/>
        <bgColor indexed="64"/>
      </patternFill>
    </fill>
    <fill>
      <patternFill patternType="solid">
        <fgColor theme="0"/>
        <bgColor rgb="FF4F81BD"/>
      </patternFill>
    </fill>
    <fill>
      <patternFill patternType="solid">
        <fgColor theme="0"/>
        <bgColor rgb="FFE2EFDA"/>
      </patternFill>
    </fill>
    <fill>
      <patternFill patternType="solid">
        <fgColor theme="0"/>
        <bgColor rgb="FFF2F2F2"/>
      </patternFill>
    </fill>
    <fill>
      <patternFill patternType="solid">
        <fgColor theme="0"/>
        <bgColor rgb="FFFCE4D6"/>
      </patternFill>
    </fill>
    <fill>
      <patternFill patternType="solid">
        <fgColor theme="0"/>
        <bgColor rgb="FFBDD7EE"/>
      </patternFill>
    </fill>
    <fill>
      <patternFill patternType="solid">
        <fgColor theme="0"/>
        <bgColor rgb="FFFFF2CC"/>
      </patternFill>
    </fill>
    <fill>
      <patternFill patternType="solid">
        <fgColor theme="8" tint="0.59999389629810485"/>
        <bgColor indexed="64"/>
      </patternFill>
    </fill>
    <fill>
      <patternFill patternType="solid">
        <fgColor theme="8" tint="-0.499984740745262"/>
        <bgColor indexed="64"/>
      </patternFill>
    </fill>
    <fill>
      <patternFill patternType="solid">
        <fgColor theme="5" tint="-0.499984740745262"/>
        <bgColor indexed="64"/>
      </patternFill>
    </fill>
    <fill>
      <patternFill patternType="solid">
        <fgColor theme="5" tint="0.79998168889431442"/>
        <bgColor indexed="64"/>
      </patternFill>
    </fill>
    <fill>
      <patternFill patternType="solid">
        <fgColor theme="4" tint="0.79998168889431442"/>
        <bgColor indexed="64"/>
      </patternFill>
    </fill>
  </fills>
  <borders count="11">
    <border>
      <left/>
      <right/>
      <top/>
      <bottom/>
      <diagonal/>
    </border>
    <border>
      <left style="thin">
        <color rgb="FFBBBBBB"/>
      </left>
      <right style="thin">
        <color rgb="FFBBBBBB"/>
      </right>
      <top style="thin">
        <color rgb="FFBBBBBB"/>
      </top>
      <bottom style="thin">
        <color rgb="FFBBBBBB"/>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3">
    <xf numFmtId="0" fontId="0" fillId="0" borderId="0" xfId="0"/>
    <xf numFmtId="0" fontId="2" fillId="3" borderId="1" xfId="0" applyFont="1" applyFill="1" applyBorder="1" applyAlignment="1">
      <alignment horizontal="center" vertical="center" wrapText="1"/>
    </xf>
    <xf numFmtId="0" fontId="3" fillId="4" borderId="1" xfId="0" applyFont="1" applyFill="1" applyBorder="1" applyAlignment="1">
      <alignment horizontal="left" vertical="center"/>
    </xf>
    <xf numFmtId="4" fontId="3" fillId="4" borderId="1" xfId="0" applyNumberFormat="1" applyFont="1" applyFill="1" applyBorder="1" applyAlignment="1">
      <alignment horizontal="right" vertical="center"/>
    </xf>
    <xf numFmtId="3" fontId="3" fillId="4" borderId="1" xfId="0" applyNumberFormat="1" applyFont="1" applyFill="1" applyBorder="1" applyAlignment="1">
      <alignment horizontal="right" vertical="center"/>
    </xf>
    <xf numFmtId="0" fontId="3" fillId="0" borderId="1" xfId="0" applyFont="1" applyBorder="1" applyAlignment="1">
      <alignment horizontal="left" vertical="center"/>
    </xf>
    <xf numFmtId="4" fontId="3" fillId="0" borderId="1" xfId="0" applyNumberFormat="1" applyFont="1" applyBorder="1" applyAlignment="1">
      <alignment horizontal="right" vertical="center"/>
    </xf>
    <xf numFmtId="3" fontId="3" fillId="0" borderId="1" xfId="0" applyNumberFormat="1" applyFont="1" applyBorder="1" applyAlignment="1">
      <alignment horizontal="right" vertical="center"/>
    </xf>
    <xf numFmtId="3" fontId="2" fillId="2" borderId="1" xfId="0" applyNumberFormat="1" applyFont="1" applyFill="1" applyBorder="1"/>
    <xf numFmtId="4" fontId="2" fillId="2" borderId="1" xfId="0" applyNumberFormat="1" applyFont="1" applyFill="1" applyBorder="1"/>
    <xf numFmtId="0" fontId="3" fillId="0" borderId="1" xfId="0" applyFont="1" applyBorder="1" applyAlignment="1">
      <alignment horizontal="center" vertical="center"/>
    </xf>
    <xf numFmtId="4" fontId="3" fillId="0" borderId="1" xfId="0" applyNumberFormat="1" applyFont="1" applyBorder="1" applyAlignment="1">
      <alignment horizontal="center" vertical="center"/>
    </xf>
    <xf numFmtId="164" fontId="3" fillId="0" borderId="1" xfId="0" applyNumberFormat="1" applyFont="1" applyBorder="1" applyAlignment="1">
      <alignment horizontal="center" vertical="center"/>
    </xf>
    <xf numFmtId="0" fontId="0" fillId="6" borderId="0" xfId="0" applyFill="1"/>
    <xf numFmtId="0" fontId="2" fillId="7" borderId="1" xfId="0" applyFont="1" applyFill="1" applyBorder="1" applyAlignment="1">
      <alignment horizontal="center" vertical="center" wrapText="1"/>
    </xf>
    <xf numFmtId="0" fontId="3" fillId="6" borderId="1" xfId="0" applyFont="1" applyFill="1" applyBorder="1" applyAlignment="1">
      <alignment horizontal="left" vertical="center"/>
    </xf>
    <xf numFmtId="4" fontId="3" fillId="6" borderId="1" xfId="0" applyNumberFormat="1" applyFont="1" applyFill="1" applyBorder="1" applyAlignment="1">
      <alignment horizontal="right" vertical="center"/>
    </xf>
    <xf numFmtId="3" fontId="3" fillId="6" borderId="1" xfId="0" applyNumberFormat="1" applyFont="1" applyFill="1" applyBorder="1" applyAlignment="1">
      <alignment horizontal="right" vertical="center"/>
    </xf>
    <xf numFmtId="0" fontId="3" fillId="8" borderId="1" xfId="0" applyFont="1" applyFill="1" applyBorder="1" applyAlignment="1">
      <alignment horizontal="left" vertical="center"/>
    </xf>
    <xf numFmtId="4" fontId="3" fillId="8" borderId="1" xfId="0" applyNumberFormat="1" applyFont="1" applyFill="1" applyBorder="1" applyAlignment="1">
      <alignment horizontal="right" vertical="center"/>
    </xf>
    <xf numFmtId="3" fontId="3" fillId="8" borderId="1" xfId="0" applyNumberFormat="1" applyFont="1" applyFill="1" applyBorder="1" applyAlignment="1">
      <alignment horizontal="right" vertical="center"/>
    </xf>
    <xf numFmtId="0" fontId="5" fillId="6" borderId="0" xfId="0" applyFont="1" applyFill="1"/>
    <xf numFmtId="0" fontId="6" fillId="0" borderId="0" xfId="0" applyFont="1"/>
    <xf numFmtId="0" fontId="0" fillId="0" borderId="0" xfId="0" pivotButton="1"/>
    <xf numFmtId="0" fontId="0" fillId="0" borderId="0" xfId="0" applyAlignment="1">
      <alignment horizontal="left"/>
    </xf>
    <xf numFmtId="0" fontId="3" fillId="4" borderId="2" xfId="0" applyFont="1" applyFill="1" applyBorder="1" applyAlignment="1">
      <alignment horizontal="center" vertical="center"/>
    </xf>
    <xf numFmtId="4" fontId="3" fillId="4" borderId="2" xfId="0" applyNumberFormat="1" applyFont="1" applyFill="1" applyBorder="1" applyAlignment="1">
      <alignment horizontal="center" vertical="center"/>
    </xf>
    <xf numFmtId="0" fontId="3" fillId="0" borderId="2" xfId="0" applyFont="1" applyBorder="1" applyAlignment="1">
      <alignment horizontal="center" vertical="center"/>
    </xf>
    <xf numFmtId="4" fontId="3" fillId="0" borderId="2" xfId="0" applyNumberFormat="1" applyFont="1" applyBorder="1" applyAlignment="1">
      <alignment horizontal="center" vertical="center"/>
    </xf>
    <xf numFmtId="2" fontId="3" fillId="4" borderId="2" xfId="0" applyNumberFormat="1" applyFont="1" applyFill="1" applyBorder="1" applyAlignment="1">
      <alignment horizontal="center" vertical="center"/>
    </xf>
    <xf numFmtId="2" fontId="3" fillId="0" borderId="2" xfId="0" applyNumberFormat="1" applyFont="1" applyBorder="1" applyAlignment="1">
      <alignment horizontal="center" vertical="center"/>
    </xf>
    <xf numFmtId="1" fontId="3" fillId="4" borderId="2" xfId="0" applyNumberFormat="1" applyFont="1" applyFill="1" applyBorder="1" applyAlignment="1">
      <alignment horizontal="center" vertical="center"/>
    </xf>
    <xf numFmtId="165" fontId="3" fillId="4" borderId="2" xfId="0" applyNumberFormat="1" applyFont="1" applyFill="1" applyBorder="1" applyAlignment="1">
      <alignment horizontal="center" vertical="center"/>
    </xf>
    <xf numFmtId="14" fontId="3" fillId="4" borderId="2" xfId="0" applyNumberFormat="1" applyFont="1" applyFill="1" applyBorder="1" applyAlignment="1">
      <alignment horizontal="center" vertical="center"/>
    </xf>
    <xf numFmtId="1" fontId="0" fillId="0" borderId="0" xfId="0" applyNumberFormat="1"/>
    <xf numFmtId="2" fontId="0" fillId="0" borderId="0" xfId="0" applyNumberFormat="1"/>
    <xf numFmtId="165" fontId="0" fillId="0" borderId="0" xfId="0" applyNumberFormat="1"/>
    <xf numFmtId="14" fontId="0" fillId="0" borderId="0" xfId="0" applyNumberFormat="1"/>
    <xf numFmtId="0" fontId="9" fillId="9" borderId="2" xfId="0" applyFont="1" applyFill="1" applyBorder="1" applyAlignment="1">
      <alignment horizontal="center" vertical="center"/>
    </xf>
    <xf numFmtId="0" fontId="9" fillId="10" borderId="2" xfId="0" applyFont="1" applyFill="1" applyBorder="1" applyAlignment="1">
      <alignment horizontal="center" vertical="center"/>
    </xf>
    <xf numFmtId="0" fontId="9" fillId="11" borderId="2" xfId="0" applyFont="1" applyFill="1" applyBorder="1" applyAlignment="1">
      <alignment horizontal="center" vertical="center"/>
    </xf>
    <xf numFmtId="0" fontId="9" fillId="12" borderId="2" xfId="0" applyFont="1" applyFill="1" applyBorder="1" applyAlignment="1">
      <alignment horizontal="center" vertical="center"/>
    </xf>
    <xf numFmtId="0" fontId="0" fillId="0" borderId="0" xfId="0" applyAlignment="1">
      <alignment horizontal="center"/>
    </xf>
    <xf numFmtId="0" fontId="3" fillId="4" borderId="3" xfId="0" applyFont="1" applyFill="1" applyBorder="1" applyAlignment="1">
      <alignment horizontal="center" vertical="center"/>
    </xf>
    <xf numFmtId="0" fontId="3" fillId="0" borderId="3" xfId="0" applyFont="1" applyBorder="1" applyAlignment="1">
      <alignment horizontal="center" vertical="center"/>
    </xf>
    <xf numFmtId="0" fontId="0" fillId="0" borderId="4" xfId="0" applyBorder="1" applyAlignment="1">
      <alignment horizontal="center"/>
    </xf>
    <xf numFmtId="0" fontId="8" fillId="0" borderId="5" xfId="0" applyFont="1" applyBorder="1" applyAlignment="1">
      <alignment horizontal="center"/>
    </xf>
    <xf numFmtId="0" fontId="8" fillId="0" borderId="6" xfId="0" applyFont="1" applyBorder="1" applyAlignment="1">
      <alignment horizontal="center"/>
    </xf>
    <xf numFmtId="0" fontId="7" fillId="0" borderId="7" xfId="0" applyFont="1" applyBorder="1" applyAlignment="1">
      <alignment horizontal="center"/>
    </xf>
    <xf numFmtId="0" fontId="3" fillId="4" borderId="8" xfId="0" applyFont="1" applyFill="1" applyBorder="1" applyAlignment="1">
      <alignment horizontal="center" vertical="center"/>
    </xf>
    <xf numFmtId="0" fontId="3" fillId="4" borderId="9" xfId="0" applyFont="1" applyFill="1" applyBorder="1" applyAlignment="1">
      <alignment horizontal="center" vertical="center"/>
    </xf>
    <xf numFmtId="4" fontId="3" fillId="4" borderId="9" xfId="0" applyNumberFormat="1" applyFont="1" applyFill="1" applyBorder="1" applyAlignment="1">
      <alignment horizontal="center" vertical="center"/>
    </xf>
    <xf numFmtId="1" fontId="3" fillId="4" borderId="9" xfId="0" applyNumberFormat="1" applyFont="1" applyFill="1" applyBorder="1" applyAlignment="1">
      <alignment horizontal="center" vertical="center"/>
    </xf>
    <xf numFmtId="2" fontId="3" fillId="4" borderId="9" xfId="0" applyNumberFormat="1" applyFont="1" applyFill="1" applyBorder="1" applyAlignment="1">
      <alignment horizontal="center" vertical="center"/>
    </xf>
    <xf numFmtId="165" fontId="3" fillId="4" borderId="9" xfId="0" applyNumberFormat="1" applyFont="1" applyFill="1" applyBorder="1" applyAlignment="1">
      <alignment horizontal="center" vertical="center"/>
    </xf>
    <xf numFmtId="0" fontId="9" fillId="9" borderId="9" xfId="0" applyFont="1" applyFill="1" applyBorder="1" applyAlignment="1">
      <alignment horizontal="center" vertical="center"/>
    </xf>
    <xf numFmtId="14" fontId="3" fillId="4" borderId="9" xfId="0" applyNumberFormat="1" applyFont="1" applyFill="1" applyBorder="1" applyAlignment="1">
      <alignment horizontal="center" vertical="center"/>
    </xf>
    <xf numFmtId="0" fontId="0" fillId="0" borderId="10" xfId="0" applyBorder="1" applyAlignment="1">
      <alignment horizontal="center"/>
    </xf>
    <xf numFmtId="0" fontId="0" fillId="13" borderId="0" xfId="0" applyFill="1"/>
    <xf numFmtId="0" fontId="7" fillId="0" borderId="0" xfId="0" applyFont="1"/>
    <xf numFmtId="0" fontId="10" fillId="13" borderId="0" xfId="0" applyFont="1" applyFill="1" applyAlignment="1">
      <alignment vertical="center"/>
    </xf>
    <xf numFmtId="0" fontId="7" fillId="13" borderId="0" xfId="0" applyFont="1" applyFill="1"/>
    <xf numFmtId="0" fontId="4" fillId="5" borderId="0" xfId="0" applyFont="1" applyFill="1" applyAlignment="1">
      <alignment horizontal="center" vertical="center"/>
    </xf>
    <xf numFmtId="0" fontId="1" fillId="2" borderId="0" xfId="0" applyFont="1" applyFill="1" applyAlignment="1">
      <alignment horizontal="center" vertical="center"/>
    </xf>
    <xf numFmtId="0" fontId="10" fillId="15" borderId="2" xfId="0" applyFont="1" applyFill="1" applyBorder="1" applyAlignment="1">
      <alignment horizontal="center"/>
    </xf>
    <xf numFmtId="0" fontId="7" fillId="17" borderId="2" xfId="0" applyFont="1" applyFill="1" applyBorder="1" applyAlignment="1">
      <alignment horizontal="center"/>
    </xf>
    <xf numFmtId="0" fontId="10" fillId="15" borderId="2" xfId="0" applyFont="1" applyFill="1" applyBorder="1" applyAlignment="1">
      <alignment horizontal="center" vertical="center"/>
    </xf>
    <xf numFmtId="1" fontId="7" fillId="17" borderId="2" xfId="0" applyNumberFormat="1" applyFont="1" applyFill="1" applyBorder="1" applyAlignment="1">
      <alignment horizontal="center"/>
    </xf>
    <xf numFmtId="0" fontId="0" fillId="15" borderId="2" xfId="0" applyFill="1" applyBorder="1" applyAlignment="1">
      <alignment horizontal="center"/>
    </xf>
    <xf numFmtId="0" fontId="7" fillId="16" borderId="2" xfId="0" applyFont="1" applyFill="1" applyBorder="1" applyAlignment="1">
      <alignment horizontal="center"/>
    </xf>
    <xf numFmtId="0" fontId="0" fillId="16" borderId="2" xfId="0" applyFill="1" applyBorder="1" applyAlignment="1">
      <alignment horizontal="center"/>
    </xf>
    <xf numFmtId="0" fontId="11" fillId="14" borderId="0" xfId="0" applyFont="1" applyFill="1" applyAlignment="1">
      <alignment horizontal="center" vertical="center"/>
    </xf>
    <xf numFmtId="0" fontId="12" fillId="14" borderId="0" xfId="0" applyFont="1" applyFill="1" applyAlignment="1">
      <alignment horizontal="center" vertical="center"/>
    </xf>
  </cellXfs>
  <cellStyles count="1">
    <cellStyle name="Normal" xfId="0" builtinId="0"/>
  </cellStyles>
  <dxfs count="17">
    <dxf>
      <alignment horizontal="center" vertical="bottom"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numFmt numFmtId="19" formatCode="dd/mm/yyyy"/>
      <fill>
        <patternFill patternType="solid">
          <fgColor rgb="FFE2EFDA"/>
          <bgColor rgb="FFF2F2F2"/>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i val="0"/>
        <strike val="0"/>
        <condense val="0"/>
        <extend val="0"/>
        <outline val="0"/>
        <shadow val="0"/>
        <u val="none"/>
        <vertAlign val="baseline"/>
        <sz val="9"/>
        <color auto="1"/>
        <name val="Arial"/>
        <family val="2"/>
        <scheme val="none"/>
      </font>
      <fill>
        <patternFill patternType="solid">
          <fgColor rgb="FFF2F2F2"/>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numFmt numFmtId="165" formatCode="&quot;₹&quot;\ #,##0"/>
      <fill>
        <patternFill patternType="solid">
          <fgColor rgb="FFE2EFDA"/>
          <bgColor rgb="FFF2F2F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numFmt numFmtId="2" formatCode="0.00"/>
      <fill>
        <patternFill patternType="solid">
          <fgColor rgb="FFE2EFDA"/>
          <bgColor rgb="FFF2F2F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numFmt numFmtId="1" formatCode="0"/>
      <fill>
        <patternFill patternType="solid">
          <fgColor rgb="FFE2EFDA"/>
          <bgColor rgb="FFF2F2F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numFmt numFmtId="4" formatCode="#,##0.00"/>
      <fill>
        <patternFill patternType="solid">
          <fgColor rgb="FFE2EFDA"/>
          <bgColor rgb="FFF2F2F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fill>
        <patternFill patternType="solid">
          <fgColor rgb="FFE2EFDA"/>
          <bgColor rgb="FFF2F2F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fill>
        <patternFill patternType="solid">
          <fgColor rgb="FFE2EFDA"/>
          <bgColor rgb="FFF2F2F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fill>
        <patternFill patternType="solid">
          <fgColor rgb="FFE2EFDA"/>
          <bgColor rgb="FFF2F2F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fill>
        <patternFill patternType="solid">
          <fgColor rgb="FFE2EFDA"/>
          <bgColor rgb="FFF2F2F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rgb="FF000000"/>
        <name val="Arial"/>
        <charset val="1"/>
        <scheme val="none"/>
      </font>
      <fill>
        <patternFill patternType="solid">
          <fgColor rgb="FFE2EFDA"/>
          <bgColor rgb="FFF2F2F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9"/>
        <color rgb="FF000000"/>
        <name val="Arial"/>
        <charset val="1"/>
        <scheme val="none"/>
      </font>
      <fill>
        <patternFill patternType="solid">
          <fgColor rgb="FFE2EFDA"/>
          <bgColor rgb="FFF2F2F2"/>
        </patternFill>
      </fill>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2"/>
        <color theme="1"/>
        <name val="Calibri"/>
        <family val="2"/>
        <scheme val="none"/>
      </font>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BBBBB"/>
      <rgbColor rgb="FF878787"/>
      <rgbColor rgb="FF9999FF"/>
      <rgbColor rgb="FF7030A0"/>
      <rgbColor rgb="FFFFF2CC"/>
      <rgbColor rgb="FFF2F2F2"/>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D9D9"/>
      <rgbColor rgb="FFE2EFDA"/>
      <rgbColor rgb="FFFFFF99"/>
      <rgbColor rgb="FF99CCFF"/>
      <rgbColor rgb="FFFF99CC"/>
      <rgbColor rgb="FFCC99FF"/>
      <rgbColor rgb="FFFCE4D6"/>
      <rgbColor rgb="FF2E75B6"/>
      <rgbColor rgb="FF33CCCC"/>
      <rgbColor rgb="FF9BBB59"/>
      <rgbColor rgb="FFFFCC00"/>
      <rgbColor rgb="FFC9A227"/>
      <rgbColor rgb="FFED7D31"/>
      <rgbColor rgb="FF8064A2"/>
      <rgbColor rgb="FF969696"/>
      <rgbColor rgb="FF1F3864"/>
      <rgbColor rgb="FF4F81BD"/>
      <rgbColor rgb="FF003300"/>
      <rgbColor rgb="FF333300"/>
      <rgbColor rgb="FF993300"/>
      <rgbColor rgb="FFC0504D"/>
      <rgbColor rgb="FF595959"/>
      <rgbColor rgb="FF37562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1/relationships/timelineCache" Target="timelineCaches/timelineCache1.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[inventory_solution.xlsx]Pivot_Table!PivotTable5</c:name>
    <c:fmtId val="1"/>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Pivot_Table!$A$2:$A$6</c:f>
              <c:strCache>
                <c:ptCount val="4"/>
                <c:pt idx="0">
                  <c:v>West</c:v>
                </c:pt>
                <c:pt idx="1">
                  <c:v>East</c:v>
                </c:pt>
                <c:pt idx="2">
                  <c:v>South</c:v>
                </c:pt>
                <c:pt idx="3">
                  <c:v>North</c:v>
                </c:pt>
              </c:strCache>
            </c:strRef>
          </c:cat>
          <c:val>
            <c:numRef>
              <c:f>Pivot_Table!$B$2:$B$6</c:f>
              <c:numCache>
                <c:formatCode>"₹"\ #,##0</c:formatCode>
                <c:ptCount val="4"/>
                <c:pt idx="0">
                  <c:v>337957.95999999996</c:v>
                </c:pt>
                <c:pt idx="1">
                  <c:v>265690.47000000003</c:v>
                </c:pt>
                <c:pt idx="2">
                  <c:v>208843.72</c:v>
                </c:pt>
                <c:pt idx="3">
                  <c:v>96609</c:v>
                </c:pt>
              </c:numCache>
            </c:numRef>
          </c:val>
          <c:extLst>
            <c:ext xmlns:c16="http://schemas.microsoft.com/office/drawing/2014/chart" uri="{C3380CC4-5D6E-409C-BE32-E72D297353CC}">
              <c16:uniqueId val="{00000000-98D3-48CE-8464-94FDC5F673B9}"/>
            </c:ext>
          </c:extLst>
        </c:ser>
        <c:dLbls>
          <c:dLblPos val="outEnd"/>
          <c:showLegendKey val="0"/>
          <c:showVal val="1"/>
          <c:showCatName val="0"/>
          <c:showSerName val="0"/>
          <c:showPercent val="0"/>
          <c:showBubbleSize val="0"/>
        </c:dLbls>
        <c:gapWidth val="219"/>
        <c:overlap val="-27"/>
        <c:axId val="451607904"/>
        <c:axId val="451608264"/>
      </c:barChart>
      <c:catAx>
        <c:axId val="451607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451608264"/>
        <c:crosses val="autoZero"/>
        <c:auto val="1"/>
        <c:lblAlgn val="ctr"/>
        <c:lblOffset val="100"/>
        <c:noMultiLvlLbl val="0"/>
      </c:catAx>
      <c:valAx>
        <c:axId val="451608264"/>
        <c:scaling>
          <c:orientation val="minMax"/>
        </c:scaling>
        <c:delete val="1"/>
        <c:axPos val="l"/>
        <c:numFmt formatCode="&quot;₹&quot;\ #,##0" sourceLinked="1"/>
        <c:majorTickMark val="none"/>
        <c:minorTickMark val="none"/>
        <c:tickLblPos val="nextTo"/>
        <c:crossAx val="451607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[inventory_solution.xlsx]Pivot_Table!PivotTable7</c:name>
    <c:fmtId val="13"/>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hade val="70000"/>
            </a:schemeClr>
          </a:solidFill>
          <a:ln w="19050">
            <a:solidFill>
              <a:schemeClr val="lt1"/>
            </a:solidFill>
          </a:ln>
          <a:effectLst/>
        </c:spPr>
        <c:dLbl>
          <c:idx val="0"/>
          <c:layout>
            <c:manualLayout>
              <c:x val="7.2727272727271391E-3"/>
              <c:y val="2.69179004037685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hade val="50000"/>
            </a:schemeClr>
          </a:solidFill>
          <a:ln w="19050">
            <a:solidFill>
              <a:schemeClr val="lt1"/>
            </a:solidFill>
          </a:ln>
          <a:effectLst/>
        </c:spPr>
      </c:pivotFmt>
      <c:pivotFmt>
        <c:idx val="3"/>
        <c:spPr>
          <a:solidFill>
            <a:schemeClr val="accent1">
              <a:shade val="90000"/>
            </a:schemeClr>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tint val="70000"/>
            </a:schemeClr>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Pivot_Table!$B$30</c:f>
              <c:strCache>
                <c:ptCount val="1"/>
                <c:pt idx="0">
                  <c:v>Total</c:v>
                </c:pt>
              </c:strCache>
            </c:strRef>
          </c:tx>
          <c:dPt>
            <c:idx val="0"/>
            <c:bubble3D val="0"/>
            <c:spPr>
              <a:solidFill>
                <a:schemeClr val="accent1">
                  <a:shade val="50000"/>
                </a:schemeClr>
              </a:solidFill>
              <a:ln w="19050">
                <a:solidFill>
                  <a:schemeClr val="lt1"/>
                </a:solidFill>
              </a:ln>
              <a:effectLst/>
            </c:spPr>
            <c:extLst>
              <c:ext xmlns:c16="http://schemas.microsoft.com/office/drawing/2014/chart" uri="{C3380CC4-5D6E-409C-BE32-E72D297353CC}">
                <c16:uniqueId val="{00000001-21A4-4B64-9415-757735A5EC80}"/>
              </c:ext>
            </c:extLst>
          </c:dPt>
          <c:dPt>
            <c:idx val="1"/>
            <c:bubble3D val="0"/>
            <c:spPr>
              <a:solidFill>
                <a:schemeClr val="accent1">
                  <a:shade val="70000"/>
                </a:schemeClr>
              </a:solidFill>
              <a:ln w="19050">
                <a:solidFill>
                  <a:schemeClr val="lt1"/>
                </a:solidFill>
              </a:ln>
              <a:effectLst/>
            </c:spPr>
            <c:extLst>
              <c:ext xmlns:c16="http://schemas.microsoft.com/office/drawing/2014/chart" uri="{C3380CC4-5D6E-409C-BE32-E72D297353CC}">
                <c16:uniqueId val="{00000002-0C0C-4824-9C09-108C754D60D9}"/>
              </c:ext>
            </c:extLst>
          </c:dPt>
          <c:dPt>
            <c:idx val="2"/>
            <c:bubble3D val="0"/>
            <c:spPr>
              <a:solidFill>
                <a:schemeClr val="accent1">
                  <a:shade val="90000"/>
                </a:schemeClr>
              </a:solidFill>
              <a:ln w="19050">
                <a:solidFill>
                  <a:schemeClr val="lt1"/>
                </a:solidFill>
              </a:ln>
              <a:effectLst/>
            </c:spPr>
            <c:extLst>
              <c:ext xmlns:c16="http://schemas.microsoft.com/office/drawing/2014/chart" uri="{C3380CC4-5D6E-409C-BE32-E72D297353CC}">
                <c16:uniqueId val="{00000005-21A4-4B64-9415-757735A5EC80}"/>
              </c:ext>
            </c:extLst>
          </c:dPt>
          <c:dPt>
            <c:idx val="3"/>
            <c:bubble3D val="0"/>
            <c:spPr>
              <a:solidFill>
                <a:schemeClr val="accent1">
                  <a:tint val="90000"/>
                </a:schemeClr>
              </a:solidFill>
              <a:ln w="19050">
                <a:solidFill>
                  <a:schemeClr val="lt1"/>
                </a:solidFill>
              </a:ln>
              <a:effectLst/>
            </c:spPr>
            <c:extLst>
              <c:ext xmlns:c16="http://schemas.microsoft.com/office/drawing/2014/chart" uri="{C3380CC4-5D6E-409C-BE32-E72D297353CC}">
                <c16:uniqueId val="{00000007-21A4-4B64-9415-757735A5EC80}"/>
              </c:ext>
            </c:extLst>
          </c:dPt>
          <c:dPt>
            <c:idx val="4"/>
            <c:bubble3D val="0"/>
            <c:spPr>
              <a:solidFill>
                <a:schemeClr val="accent1">
                  <a:tint val="70000"/>
                </a:schemeClr>
              </a:solidFill>
              <a:ln w="19050">
                <a:solidFill>
                  <a:schemeClr val="lt1"/>
                </a:solidFill>
              </a:ln>
              <a:effectLst/>
            </c:spPr>
            <c:extLst>
              <c:ext xmlns:c16="http://schemas.microsoft.com/office/drawing/2014/chart" uri="{C3380CC4-5D6E-409C-BE32-E72D297353CC}">
                <c16:uniqueId val="{00000009-21A4-4B64-9415-757735A5EC80}"/>
              </c:ext>
            </c:extLst>
          </c:dPt>
          <c:dPt>
            <c:idx val="5"/>
            <c:bubble3D val="0"/>
            <c:spPr>
              <a:solidFill>
                <a:schemeClr val="accent1">
                  <a:tint val="50000"/>
                </a:schemeClr>
              </a:solidFill>
              <a:ln w="19050">
                <a:solidFill>
                  <a:schemeClr val="lt1"/>
                </a:solidFill>
              </a:ln>
              <a:effectLst/>
            </c:spPr>
            <c:extLst>
              <c:ext xmlns:c16="http://schemas.microsoft.com/office/drawing/2014/chart" uri="{C3380CC4-5D6E-409C-BE32-E72D297353CC}">
                <c16:uniqueId val="{0000000B-21A4-4B64-9415-757735A5EC80}"/>
              </c:ext>
            </c:extLst>
          </c:dPt>
          <c:dLbls>
            <c:dLbl>
              <c:idx val="1"/>
              <c:layout>
                <c:manualLayout>
                  <c:x val="7.2727272727271391E-3"/>
                  <c:y val="2.6917900403768506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0C0C-4824-9C09-108C754D60D9}"/>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Pivot_Table!$A$31:$A$37</c:f>
              <c:strCache>
                <c:ptCount val="6"/>
                <c:pt idx="0">
                  <c:v>WH-Ahmedabad</c:v>
                </c:pt>
                <c:pt idx="1">
                  <c:v>WH-Bangalore</c:v>
                </c:pt>
                <c:pt idx="2">
                  <c:v>WH-Chennai</c:v>
                </c:pt>
                <c:pt idx="3">
                  <c:v>WH-Delhi</c:v>
                </c:pt>
                <c:pt idx="4">
                  <c:v>WH-Kolkata</c:v>
                </c:pt>
                <c:pt idx="5">
                  <c:v>WH-Mumbai</c:v>
                </c:pt>
              </c:strCache>
            </c:strRef>
          </c:cat>
          <c:val>
            <c:numRef>
              <c:f>Pivot_Table!$B$31:$B$37</c:f>
              <c:numCache>
                <c:formatCode>"₹"\ #,##0</c:formatCode>
                <c:ptCount val="6"/>
                <c:pt idx="0">
                  <c:v>128290.11999999998</c:v>
                </c:pt>
                <c:pt idx="1">
                  <c:v>123392.24</c:v>
                </c:pt>
                <c:pt idx="2">
                  <c:v>167141.95000000001</c:v>
                </c:pt>
                <c:pt idx="3">
                  <c:v>183080.99000000002</c:v>
                </c:pt>
                <c:pt idx="4">
                  <c:v>183144.92</c:v>
                </c:pt>
                <c:pt idx="5">
                  <c:v>124050.92999999998</c:v>
                </c:pt>
              </c:numCache>
            </c:numRef>
          </c:val>
          <c:extLst>
            <c:ext xmlns:c16="http://schemas.microsoft.com/office/drawing/2014/chart" uri="{C3380CC4-5D6E-409C-BE32-E72D297353CC}">
              <c16:uniqueId val="{00000000-0C0C-4824-9C09-108C754D60D9}"/>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[inventory_solution.xlsx]Pivot_Table!PivotTable6</c:name>
    <c:fmtId val="1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Pivot_Table!$B$15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Pivot_Table!$A$16:$A$26</c:f>
              <c:strCache>
                <c:ptCount val="10"/>
                <c:pt idx="0">
                  <c:v>Automotive</c:v>
                </c:pt>
                <c:pt idx="1">
                  <c:v>Books</c:v>
                </c:pt>
                <c:pt idx="2">
                  <c:v>Clothing</c:v>
                </c:pt>
                <c:pt idx="3">
                  <c:v>Cosmetics</c:v>
                </c:pt>
                <c:pt idx="4">
                  <c:v>Electronics</c:v>
                </c:pt>
                <c:pt idx="5">
                  <c:v>Food &amp; Beverage</c:v>
                </c:pt>
                <c:pt idx="6">
                  <c:v>Furniture</c:v>
                </c:pt>
                <c:pt idx="7">
                  <c:v>Sports</c:v>
                </c:pt>
                <c:pt idx="8">
                  <c:v>Tools</c:v>
                </c:pt>
                <c:pt idx="9">
                  <c:v>Toys</c:v>
                </c:pt>
              </c:strCache>
            </c:strRef>
          </c:cat>
          <c:val>
            <c:numRef>
              <c:f>Pivot_Table!$B$16:$B$26</c:f>
              <c:numCache>
                <c:formatCode>"₹"\ #,##0</c:formatCode>
                <c:ptCount val="10"/>
                <c:pt idx="0">
                  <c:v>107602.38999999998</c:v>
                </c:pt>
                <c:pt idx="1">
                  <c:v>138926.75999999998</c:v>
                </c:pt>
                <c:pt idx="2">
                  <c:v>36774.65</c:v>
                </c:pt>
                <c:pt idx="3">
                  <c:v>131446.58999999997</c:v>
                </c:pt>
                <c:pt idx="4">
                  <c:v>64087.340000000011</c:v>
                </c:pt>
                <c:pt idx="5">
                  <c:v>100868.26000000001</c:v>
                </c:pt>
                <c:pt idx="6">
                  <c:v>76394.010000000009</c:v>
                </c:pt>
                <c:pt idx="7">
                  <c:v>89979.150000000009</c:v>
                </c:pt>
                <c:pt idx="8">
                  <c:v>99594.790000000008</c:v>
                </c:pt>
                <c:pt idx="9">
                  <c:v>63427.21</c:v>
                </c:pt>
              </c:numCache>
            </c:numRef>
          </c:val>
          <c:extLst>
            <c:ext xmlns:c16="http://schemas.microsoft.com/office/drawing/2014/chart" uri="{C3380CC4-5D6E-409C-BE32-E72D297353CC}">
              <c16:uniqueId val="{00000000-03EB-465B-B704-9149650A6BBE}"/>
            </c:ext>
          </c:extLst>
        </c:ser>
        <c:dLbls>
          <c:dLblPos val="outEnd"/>
          <c:showLegendKey val="0"/>
          <c:showVal val="1"/>
          <c:showCatName val="0"/>
          <c:showSerName val="0"/>
          <c:showPercent val="0"/>
          <c:showBubbleSize val="0"/>
        </c:dLbls>
        <c:gapWidth val="182"/>
        <c:axId val="574050000"/>
        <c:axId val="574052160"/>
      </c:barChart>
      <c:catAx>
        <c:axId val="5740500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574052160"/>
        <c:crosses val="autoZero"/>
        <c:auto val="1"/>
        <c:lblAlgn val="ctr"/>
        <c:lblOffset val="100"/>
        <c:noMultiLvlLbl val="0"/>
      </c:catAx>
      <c:valAx>
        <c:axId val="574052160"/>
        <c:scaling>
          <c:orientation val="minMax"/>
        </c:scaling>
        <c:delete val="1"/>
        <c:axPos val="b"/>
        <c:numFmt formatCode="&quot;₹&quot;\ #,##0" sourceLinked="1"/>
        <c:majorTickMark val="out"/>
        <c:minorTickMark val="none"/>
        <c:tickLblPos val="nextTo"/>
        <c:crossAx val="574050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[inventory_solution.xlsx]Pivot_Table!PivotTable9</c:name>
    <c:fmtId val="3"/>
  </c:pivotSource>
  <c:chart>
    <c:autoTitleDeleted val="1"/>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dLbl>
          <c:idx val="0"/>
          <c:layout>
            <c:manualLayout>
              <c:x val="-5.4632108486439193E-2"/>
              <c:y val="-5.19674103237095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6.8520997375328088E-2"/>
              <c:y val="-6.12266695829687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6.852099737532813E-2"/>
              <c:y val="-8.90044473607465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Pivot_Table!$B$45</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Pivot_Table!$A$46:$A$56</c:f>
              <c:strCache>
                <c:ptCount val="10"/>
                <c:pt idx="0">
                  <c:v>Product_112</c:v>
                </c:pt>
                <c:pt idx="1">
                  <c:v>Product_124</c:v>
                </c:pt>
                <c:pt idx="2">
                  <c:v>Product_128</c:v>
                </c:pt>
                <c:pt idx="3">
                  <c:v>Product_144</c:v>
                </c:pt>
                <c:pt idx="4">
                  <c:v>Product_27</c:v>
                </c:pt>
                <c:pt idx="5">
                  <c:v>Product_43</c:v>
                </c:pt>
                <c:pt idx="6">
                  <c:v>Product_44</c:v>
                </c:pt>
                <c:pt idx="7">
                  <c:v>Product_68</c:v>
                </c:pt>
                <c:pt idx="8">
                  <c:v>Product_8</c:v>
                </c:pt>
                <c:pt idx="9">
                  <c:v>Product_80</c:v>
                </c:pt>
              </c:strCache>
            </c:strRef>
          </c:cat>
          <c:val>
            <c:numRef>
              <c:f>Pivot_Table!$B$46:$B$56</c:f>
              <c:numCache>
                <c:formatCode>"₹"\ #,##0</c:formatCode>
                <c:ptCount val="10"/>
                <c:pt idx="0">
                  <c:v>14991.72</c:v>
                </c:pt>
                <c:pt idx="1">
                  <c:v>13672.24</c:v>
                </c:pt>
                <c:pt idx="2">
                  <c:v>19305.72</c:v>
                </c:pt>
                <c:pt idx="3">
                  <c:v>14119.44</c:v>
                </c:pt>
                <c:pt idx="4">
                  <c:v>14521.53</c:v>
                </c:pt>
                <c:pt idx="5">
                  <c:v>13872.75</c:v>
                </c:pt>
                <c:pt idx="6">
                  <c:v>15090.52</c:v>
                </c:pt>
                <c:pt idx="7">
                  <c:v>16326.8</c:v>
                </c:pt>
                <c:pt idx="8">
                  <c:v>15040.6</c:v>
                </c:pt>
                <c:pt idx="9">
                  <c:v>16865.560000000001</c:v>
                </c:pt>
              </c:numCache>
            </c:numRef>
          </c:val>
          <c:smooth val="0"/>
          <c:extLst>
            <c:ext xmlns:c16="http://schemas.microsoft.com/office/drawing/2014/chart" uri="{C3380CC4-5D6E-409C-BE32-E72D297353CC}">
              <c16:uniqueId val="{00000000-4618-43D9-8356-FAB375C044E3}"/>
            </c:ext>
          </c:extLst>
        </c:ser>
        <c:dLbls>
          <c:dLblPos val="t"/>
          <c:showLegendKey val="0"/>
          <c:showVal val="1"/>
          <c:showCatName val="0"/>
          <c:showSerName val="0"/>
          <c:showPercent val="0"/>
          <c:showBubbleSize val="0"/>
        </c:dLbls>
        <c:marker val="1"/>
        <c:smooth val="0"/>
        <c:axId val="349443656"/>
        <c:axId val="349444016"/>
      </c:lineChart>
      <c:catAx>
        <c:axId val="349443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9444016"/>
        <c:crosses val="autoZero"/>
        <c:auto val="1"/>
        <c:lblAlgn val="ctr"/>
        <c:lblOffset val="100"/>
        <c:noMultiLvlLbl val="0"/>
      </c:catAx>
      <c:valAx>
        <c:axId val="349444016"/>
        <c:scaling>
          <c:orientation val="minMax"/>
        </c:scaling>
        <c:delete val="1"/>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crossAx val="349443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[inventory_solution.xlsx]Pivot_Table!PivotTable5</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7.9500351303603307E-18"/>
              <c:y val="1.3887590344516126E-2"/>
            </c:manualLayout>
          </c:layout>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Pivot_Table!$B$1</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7B07-4D23-8CDD-B63F799FA170}"/>
              </c:ext>
            </c:extLst>
          </c:dPt>
          <c:dLbls>
            <c:dLbl>
              <c:idx val="0"/>
              <c:layout>
                <c:manualLayout>
                  <c:x val="-7.9500351303603307E-18"/>
                  <c:y val="1.388759034451612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B07-4D23-8CDD-B63F799FA170}"/>
                </c:ext>
              </c:extLst>
            </c:dLbl>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Pivot_Table!$A$2:$A$6</c:f>
              <c:strCache>
                <c:ptCount val="4"/>
                <c:pt idx="0">
                  <c:v>West</c:v>
                </c:pt>
                <c:pt idx="1">
                  <c:v>East</c:v>
                </c:pt>
                <c:pt idx="2">
                  <c:v>South</c:v>
                </c:pt>
                <c:pt idx="3">
                  <c:v>North</c:v>
                </c:pt>
              </c:strCache>
            </c:strRef>
          </c:cat>
          <c:val>
            <c:numRef>
              <c:f>Pivot_Table!$B$2:$B$6</c:f>
              <c:numCache>
                <c:formatCode>"₹"\ #,##0</c:formatCode>
                <c:ptCount val="4"/>
                <c:pt idx="0">
                  <c:v>337957.95999999996</c:v>
                </c:pt>
                <c:pt idx="1">
                  <c:v>265690.47000000003</c:v>
                </c:pt>
                <c:pt idx="2">
                  <c:v>208843.72</c:v>
                </c:pt>
                <c:pt idx="3">
                  <c:v>96609</c:v>
                </c:pt>
              </c:numCache>
            </c:numRef>
          </c:val>
          <c:extLst>
            <c:ext xmlns:c16="http://schemas.microsoft.com/office/drawing/2014/chart" uri="{C3380CC4-5D6E-409C-BE32-E72D297353CC}">
              <c16:uniqueId val="{00000000-7B07-4D23-8CDD-B63F799FA170}"/>
            </c:ext>
          </c:extLst>
        </c:ser>
        <c:dLbls>
          <c:dLblPos val="outEnd"/>
          <c:showLegendKey val="0"/>
          <c:showVal val="1"/>
          <c:showCatName val="0"/>
          <c:showSerName val="0"/>
          <c:showPercent val="0"/>
          <c:showBubbleSize val="0"/>
        </c:dLbls>
        <c:gapWidth val="219"/>
        <c:overlap val="-27"/>
        <c:axId val="451607904"/>
        <c:axId val="451608264"/>
      </c:barChart>
      <c:catAx>
        <c:axId val="451607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451608264"/>
        <c:crosses val="autoZero"/>
        <c:auto val="1"/>
        <c:lblAlgn val="ctr"/>
        <c:lblOffset val="100"/>
        <c:noMultiLvlLbl val="0"/>
      </c:catAx>
      <c:valAx>
        <c:axId val="451608264"/>
        <c:scaling>
          <c:orientation val="minMax"/>
        </c:scaling>
        <c:delete val="1"/>
        <c:axPos val="l"/>
        <c:numFmt formatCode="&quot;₹&quot;\ #,##0" sourceLinked="1"/>
        <c:majorTickMark val="none"/>
        <c:minorTickMark val="none"/>
        <c:tickLblPos val="nextTo"/>
        <c:crossAx val="4516079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[inventory_solution.xlsx]Pivot_Table!PivotTable6</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Pivot_Table!$B$15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2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Pivot_Table!$A$16:$A$26</c:f>
              <c:strCache>
                <c:ptCount val="10"/>
                <c:pt idx="0">
                  <c:v>Automotive</c:v>
                </c:pt>
                <c:pt idx="1">
                  <c:v>Books</c:v>
                </c:pt>
                <c:pt idx="2">
                  <c:v>Clothing</c:v>
                </c:pt>
                <c:pt idx="3">
                  <c:v>Cosmetics</c:v>
                </c:pt>
                <c:pt idx="4">
                  <c:v>Electronics</c:v>
                </c:pt>
                <c:pt idx="5">
                  <c:v>Food &amp; Beverage</c:v>
                </c:pt>
                <c:pt idx="6">
                  <c:v>Furniture</c:v>
                </c:pt>
                <c:pt idx="7">
                  <c:v>Sports</c:v>
                </c:pt>
                <c:pt idx="8">
                  <c:v>Tools</c:v>
                </c:pt>
                <c:pt idx="9">
                  <c:v>Toys</c:v>
                </c:pt>
              </c:strCache>
            </c:strRef>
          </c:cat>
          <c:val>
            <c:numRef>
              <c:f>Pivot_Table!$B$16:$B$26</c:f>
              <c:numCache>
                <c:formatCode>"₹"\ #,##0</c:formatCode>
                <c:ptCount val="10"/>
                <c:pt idx="0">
                  <c:v>107602.38999999998</c:v>
                </c:pt>
                <c:pt idx="1">
                  <c:v>138926.75999999998</c:v>
                </c:pt>
                <c:pt idx="2">
                  <c:v>36774.65</c:v>
                </c:pt>
                <c:pt idx="3">
                  <c:v>131446.58999999997</c:v>
                </c:pt>
                <c:pt idx="4">
                  <c:v>64087.340000000011</c:v>
                </c:pt>
                <c:pt idx="5">
                  <c:v>100868.26000000001</c:v>
                </c:pt>
                <c:pt idx="6">
                  <c:v>76394.010000000009</c:v>
                </c:pt>
                <c:pt idx="7">
                  <c:v>89979.150000000009</c:v>
                </c:pt>
                <c:pt idx="8">
                  <c:v>99594.790000000008</c:v>
                </c:pt>
                <c:pt idx="9">
                  <c:v>63427.21</c:v>
                </c:pt>
              </c:numCache>
            </c:numRef>
          </c:val>
          <c:extLst>
            <c:ext xmlns:c16="http://schemas.microsoft.com/office/drawing/2014/chart" uri="{C3380CC4-5D6E-409C-BE32-E72D297353CC}">
              <c16:uniqueId val="{00000000-7553-4338-9B1D-728060161E75}"/>
            </c:ext>
          </c:extLst>
        </c:ser>
        <c:dLbls>
          <c:dLblPos val="outEnd"/>
          <c:showLegendKey val="0"/>
          <c:showVal val="1"/>
          <c:showCatName val="0"/>
          <c:showSerName val="0"/>
          <c:showPercent val="0"/>
          <c:showBubbleSize val="0"/>
        </c:dLbls>
        <c:gapWidth val="182"/>
        <c:axId val="574050000"/>
        <c:axId val="574052160"/>
      </c:barChart>
      <c:catAx>
        <c:axId val="5740500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574052160"/>
        <c:crosses val="autoZero"/>
        <c:auto val="1"/>
        <c:lblAlgn val="ctr"/>
        <c:lblOffset val="100"/>
        <c:noMultiLvlLbl val="0"/>
      </c:catAx>
      <c:valAx>
        <c:axId val="574052160"/>
        <c:scaling>
          <c:orientation val="minMax"/>
        </c:scaling>
        <c:delete val="1"/>
        <c:axPos val="b"/>
        <c:numFmt formatCode="&quot;₹&quot;\ #,##0" sourceLinked="1"/>
        <c:majorTickMark val="out"/>
        <c:minorTickMark val="none"/>
        <c:tickLblPos val="nextTo"/>
        <c:crossAx val="574050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[inventory_solution.xlsx]Pivot_Table!PivotTable7</c:name>
    <c:fmtId val="18"/>
  </c:pivotSource>
  <c:chart>
    <c:autoTitleDeleted val="1"/>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hade val="70000"/>
            </a:schemeClr>
          </a:solidFill>
          <a:ln w="19050">
            <a:solidFill>
              <a:schemeClr val="lt1"/>
            </a:solidFill>
          </a:ln>
          <a:effectLst/>
        </c:spPr>
        <c:dLbl>
          <c:idx val="0"/>
          <c:layout>
            <c:manualLayout>
              <c:x val="7.2727272727271391E-3"/>
              <c:y val="2.69179004037685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hade val="50000"/>
            </a:schemeClr>
          </a:solidFill>
          <a:ln w="19050">
            <a:solidFill>
              <a:schemeClr val="lt1"/>
            </a:solidFill>
          </a:ln>
          <a:effectLst/>
        </c:spPr>
      </c:pivotFmt>
      <c:pivotFmt>
        <c:idx val="3"/>
        <c:spPr>
          <a:solidFill>
            <a:schemeClr val="accent1">
              <a:shade val="90000"/>
            </a:schemeClr>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tint val="70000"/>
            </a:schemeClr>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hade val="50000"/>
            </a:schemeClr>
          </a:solidFill>
          <a:ln w="19050">
            <a:solidFill>
              <a:schemeClr val="lt1"/>
            </a:solidFill>
          </a:ln>
          <a:effectLst/>
        </c:spPr>
      </c:pivotFmt>
      <c:pivotFmt>
        <c:idx val="9"/>
        <c:spPr>
          <a:solidFill>
            <a:schemeClr val="accent1">
              <a:shade val="70000"/>
            </a:schemeClr>
          </a:solidFill>
          <a:ln w="19050">
            <a:solidFill>
              <a:schemeClr val="lt1"/>
            </a:solidFill>
          </a:ln>
          <a:effectLst/>
        </c:spPr>
        <c:dLbl>
          <c:idx val="0"/>
          <c:layout>
            <c:manualLayout>
              <c:x val="7.2727272727271391E-3"/>
              <c:y val="2.69179004037685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chemeClr val="accent1">
              <a:shade val="90000"/>
            </a:schemeClr>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tint val="70000"/>
            </a:schemeClr>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5"/>
        <c:spPr>
          <a:solidFill>
            <a:schemeClr val="accent1">
              <a:shade val="50000"/>
            </a:schemeClr>
          </a:solidFill>
          <a:ln w="19050">
            <a:solidFill>
              <a:schemeClr val="lt1"/>
            </a:solidFill>
          </a:ln>
          <a:effectLst/>
        </c:spPr>
      </c:pivotFmt>
      <c:pivotFmt>
        <c:idx val="16"/>
        <c:spPr>
          <a:solidFill>
            <a:schemeClr val="accent1">
              <a:shade val="70000"/>
            </a:schemeClr>
          </a:solidFill>
          <a:ln w="19050">
            <a:solidFill>
              <a:schemeClr val="lt1"/>
            </a:solidFill>
          </a:ln>
          <a:effectLst/>
        </c:spPr>
        <c:dLbl>
          <c:idx val="0"/>
          <c:layout>
            <c:manualLayout>
              <c:x val="7.2727272727271391E-3"/>
              <c:y val="2.6917900403768506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hade val="90000"/>
            </a:schemeClr>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tint val="70000"/>
            </a:schemeClr>
          </a:solidFill>
          <a:ln w="19050">
            <a:solidFill>
              <a:schemeClr val="lt1"/>
            </a:solidFill>
          </a:ln>
          <a:effectLst/>
        </c:spPr>
      </c:pivotFmt>
      <c:pivotFmt>
        <c:idx val="20"/>
        <c:spPr>
          <a:solidFill>
            <a:schemeClr val="accent1"/>
          </a:solidFill>
          <a:ln w="19050">
            <a:solidFill>
              <a:schemeClr val="lt1"/>
            </a:solidFill>
          </a:ln>
          <a:effectLst/>
        </c:spPr>
      </c:pivotFmt>
    </c:pivotFmts>
    <c:plotArea>
      <c:layout/>
      <c:pieChart>
        <c:varyColors val="1"/>
        <c:ser>
          <c:idx val="0"/>
          <c:order val="0"/>
          <c:tx>
            <c:strRef>
              <c:f>Pivot_Table!$B$30</c:f>
              <c:strCache>
                <c:ptCount val="1"/>
                <c:pt idx="0">
                  <c:v>Total</c:v>
                </c:pt>
              </c:strCache>
            </c:strRef>
          </c:tx>
          <c:dPt>
            <c:idx val="0"/>
            <c:bubble3D val="0"/>
            <c:spPr>
              <a:solidFill>
                <a:schemeClr val="accent1">
                  <a:shade val="50000"/>
                </a:schemeClr>
              </a:solidFill>
              <a:ln w="19050">
                <a:solidFill>
                  <a:schemeClr val="lt1"/>
                </a:solidFill>
              </a:ln>
              <a:effectLst/>
            </c:spPr>
            <c:extLst>
              <c:ext xmlns:c16="http://schemas.microsoft.com/office/drawing/2014/chart" uri="{C3380CC4-5D6E-409C-BE32-E72D297353CC}">
                <c16:uniqueId val="{00000001-9F87-4623-8B16-BA168E671EB8}"/>
              </c:ext>
            </c:extLst>
          </c:dPt>
          <c:dPt>
            <c:idx val="1"/>
            <c:bubble3D val="0"/>
            <c:spPr>
              <a:solidFill>
                <a:schemeClr val="accent1">
                  <a:shade val="70000"/>
                </a:schemeClr>
              </a:solidFill>
              <a:ln w="19050">
                <a:solidFill>
                  <a:schemeClr val="lt1"/>
                </a:solidFill>
              </a:ln>
              <a:effectLst/>
            </c:spPr>
            <c:extLst>
              <c:ext xmlns:c16="http://schemas.microsoft.com/office/drawing/2014/chart" uri="{C3380CC4-5D6E-409C-BE32-E72D297353CC}">
                <c16:uniqueId val="{00000003-9F87-4623-8B16-BA168E671EB8}"/>
              </c:ext>
            </c:extLst>
          </c:dPt>
          <c:dPt>
            <c:idx val="2"/>
            <c:bubble3D val="0"/>
            <c:spPr>
              <a:solidFill>
                <a:schemeClr val="accent1">
                  <a:shade val="90000"/>
                </a:schemeClr>
              </a:solidFill>
              <a:ln w="19050">
                <a:solidFill>
                  <a:schemeClr val="lt1"/>
                </a:solidFill>
              </a:ln>
              <a:effectLst/>
            </c:spPr>
            <c:extLst>
              <c:ext xmlns:c16="http://schemas.microsoft.com/office/drawing/2014/chart" uri="{C3380CC4-5D6E-409C-BE32-E72D297353CC}">
                <c16:uniqueId val="{00000005-9F87-4623-8B16-BA168E671EB8}"/>
              </c:ext>
            </c:extLst>
          </c:dPt>
          <c:dPt>
            <c:idx val="3"/>
            <c:bubble3D val="0"/>
            <c:spPr>
              <a:solidFill>
                <a:schemeClr val="accent1">
                  <a:tint val="90000"/>
                </a:schemeClr>
              </a:solidFill>
              <a:ln w="19050">
                <a:solidFill>
                  <a:schemeClr val="lt1"/>
                </a:solidFill>
              </a:ln>
              <a:effectLst/>
            </c:spPr>
            <c:extLst>
              <c:ext xmlns:c16="http://schemas.microsoft.com/office/drawing/2014/chart" uri="{C3380CC4-5D6E-409C-BE32-E72D297353CC}">
                <c16:uniqueId val="{00000007-9F87-4623-8B16-BA168E671EB8}"/>
              </c:ext>
            </c:extLst>
          </c:dPt>
          <c:dPt>
            <c:idx val="4"/>
            <c:bubble3D val="0"/>
            <c:spPr>
              <a:solidFill>
                <a:schemeClr val="accent1">
                  <a:tint val="70000"/>
                </a:schemeClr>
              </a:solidFill>
              <a:ln w="19050">
                <a:solidFill>
                  <a:schemeClr val="lt1"/>
                </a:solidFill>
              </a:ln>
              <a:effectLst/>
            </c:spPr>
            <c:extLst>
              <c:ext xmlns:c16="http://schemas.microsoft.com/office/drawing/2014/chart" uri="{C3380CC4-5D6E-409C-BE32-E72D297353CC}">
                <c16:uniqueId val="{00000009-9F87-4623-8B16-BA168E671EB8}"/>
              </c:ext>
            </c:extLst>
          </c:dPt>
          <c:dPt>
            <c:idx val="5"/>
            <c:bubble3D val="0"/>
            <c:spPr>
              <a:solidFill>
                <a:schemeClr val="accent1">
                  <a:tint val="50000"/>
                </a:schemeClr>
              </a:solidFill>
              <a:ln w="19050">
                <a:solidFill>
                  <a:schemeClr val="lt1"/>
                </a:solidFill>
              </a:ln>
              <a:effectLst/>
            </c:spPr>
            <c:extLst>
              <c:ext xmlns:c16="http://schemas.microsoft.com/office/drawing/2014/chart" uri="{C3380CC4-5D6E-409C-BE32-E72D297353CC}">
                <c16:uniqueId val="{0000000B-9F87-4623-8B16-BA168E671EB8}"/>
              </c:ext>
            </c:extLst>
          </c:dPt>
          <c:dLbls>
            <c:dLbl>
              <c:idx val="1"/>
              <c:layout>
                <c:manualLayout>
                  <c:x val="7.2727272727271391E-3"/>
                  <c:y val="2.6917900403768506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F87-4623-8B16-BA168E671EB8}"/>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Pivot_Table!$A$31:$A$37</c:f>
              <c:strCache>
                <c:ptCount val="6"/>
                <c:pt idx="0">
                  <c:v>WH-Ahmedabad</c:v>
                </c:pt>
                <c:pt idx="1">
                  <c:v>WH-Bangalore</c:v>
                </c:pt>
                <c:pt idx="2">
                  <c:v>WH-Chennai</c:v>
                </c:pt>
                <c:pt idx="3">
                  <c:v>WH-Delhi</c:v>
                </c:pt>
                <c:pt idx="4">
                  <c:v>WH-Kolkata</c:v>
                </c:pt>
                <c:pt idx="5">
                  <c:v>WH-Mumbai</c:v>
                </c:pt>
              </c:strCache>
            </c:strRef>
          </c:cat>
          <c:val>
            <c:numRef>
              <c:f>Pivot_Table!$B$31:$B$37</c:f>
              <c:numCache>
                <c:formatCode>"₹"\ #,##0</c:formatCode>
                <c:ptCount val="6"/>
                <c:pt idx="0">
                  <c:v>128290.11999999998</c:v>
                </c:pt>
                <c:pt idx="1">
                  <c:v>123392.24</c:v>
                </c:pt>
                <c:pt idx="2">
                  <c:v>167141.95000000001</c:v>
                </c:pt>
                <c:pt idx="3">
                  <c:v>183080.99000000002</c:v>
                </c:pt>
                <c:pt idx="4">
                  <c:v>183144.92</c:v>
                </c:pt>
                <c:pt idx="5">
                  <c:v>124050.92999999998</c:v>
                </c:pt>
              </c:numCache>
            </c:numRef>
          </c:val>
          <c:extLst>
            <c:ext xmlns:c16="http://schemas.microsoft.com/office/drawing/2014/chart" uri="{C3380CC4-5D6E-409C-BE32-E72D297353CC}">
              <c16:uniqueId val="{0000000C-9F87-4623-8B16-BA168E671EB8}"/>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[inventory_solution.xlsx]Pivot_Table!PivotTable9</c:name>
    <c:fmtId val="6"/>
  </c:pivotSource>
  <c:chart>
    <c:autoTitleDeleted val="1"/>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4632108486439193E-2"/>
              <c:y val="-5.19674103237095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dLbl>
          <c:idx val="0"/>
          <c:layout>
            <c:manualLayout>
              <c:x val="-6.8520997375328088E-2"/>
              <c:y val="-6.122666958296875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52099737532813E-2"/>
              <c:y val="-8.90044473607465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5.4632108486439193E-2"/>
              <c:y val="-5.19674103237095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52099737532813E-2"/>
              <c:y val="-8.90044473607465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dLbl>
          <c:idx val="0"/>
          <c:layout>
            <c:manualLayout>
              <c:x val="-5.4632108486439193E-2"/>
              <c:y val="-5.196741032370957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dLbl>
          <c:idx val="0"/>
          <c:layout>
            <c:manualLayout>
              <c:x val="-6.852099737532813E-2"/>
              <c:y val="-8.90044473607465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Pivot_Table!$B$45</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Pivot_Table!$A$46:$A$56</c:f>
              <c:strCache>
                <c:ptCount val="10"/>
                <c:pt idx="0">
                  <c:v>Product_112</c:v>
                </c:pt>
                <c:pt idx="1">
                  <c:v>Product_124</c:v>
                </c:pt>
                <c:pt idx="2">
                  <c:v>Product_128</c:v>
                </c:pt>
                <c:pt idx="3">
                  <c:v>Product_144</c:v>
                </c:pt>
                <c:pt idx="4">
                  <c:v>Product_27</c:v>
                </c:pt>
                <c:pt idx="5">
                  <c:v>Product_43</c:v>
                </c:pt>
                <c:pt idx="6">
                  <c:v>Product_44</c:v>
                </c:pt>
                <c:pt idx="7">
                  <c:v>Product_68</c:v>
                </c:pt>
                <c:pt idx="8">
                  <c:v>Product_8</c:v>
                </c:pt>
                <c:pt idx="9">
                  <c:v>Product_80</c:v>
                </c:pt>
              </c:strCache>
            </c:strRef>
          </c:cat>
          <c:val>
            <c:numRef>
              <c:f>Pivot_Table!$B$46:$B$56</c:f>
              <c:numCache>
                <c:formatCode>"₹"\ #,##0</c:formatCode>
                <c:ptCount val="10"/>
                <c:pt idx="0">
                  <c:v>14991.72</c:v>
                </c:pt>
                <c:pt idx="1">
                  <c:v>13672.24</c:v>
                </c:pt>
                <c:pt idx="2">
                  <c:v>19305.72</c:v>
                </c:pt>
                <c:pt idx="3">
                  <c:v>14119.44</c:v>
                </c:pt>
                <c:pt idx="4">
                  <c:v>14521.53</c:v>
                </c:pt>
                <c:pt idx="5">
                  <c:v>13872.75</c:v>
                </c:pt>
                <c:pt idx="6">
                  <c:v>15090.52</c:v>
                </c:pt>
                <c:pt idx="7">
                  <c:v>16326.8</c:v>
                </c:pt>
                <c:pt idx="8">
                  <c:v>15040.6</c:v>
                </c:pt>
                <c:pt idx="9">
                  <c:v>16865.560000000001</c:v>
                </c:pt>
              </c:numCache>
            </c:numRef>
          </c:val>
          <c:smooth val="0"/>
          <c:extLst>
            <c:ext xmlns:c16="http://schemas.microsoft.com/office/drawing/2014/chart" uri="{C3380CC4-5D6E-409C-BE32-E72D297353CC}">
              <c16:uniqueId val="{00000002-462D-475D-9F7C-C9AF0B0BC575}"/>
            </c:ext>
          </c:extLst>
        </c:ser>
        <c:dLbls>
          <c:dLblPos val="t"/>
          <c:showLegendKey val="0"/>
          <c:showVal val="1"/>
          <c:showCatName val="0"/>
          <c:showSerName val="0"/>
          <c:showPercent val="0"/>
          <c:showBubbleSize val="0"/>
        </c:dLbls>
        <c:marker val="1"/>
        <c:smooth val="0"/>
        <c:axId val="349443656"/>
        <c:axId val="349444016"/>
      </c:lineChart>
      <c:catAx>
        <c:axId val="349443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9444016"/>
        <c:crosses val="autoZero"/>
        <c:auto val="1"/>
        <c:lblAlgn val="ctr"/>
        <c:lblOffset val="100"/>
        <c:noMultiLvlLbl val="0"/>
      </c:catAx>
      <c:valAx>
        <c:axId val="349444016"/>
        <c:scaling>
          <c:orientation val="minMax"/>
        </c:scaling>
        <c:delete val="1"/>
        <c:axPos val="l"/>
        <c:majorGridlines>
          <c:spPr>
            <a:ln w="9525" cap="flat" cmpd="sng" algn="ctr">
              <a:solidFill>
                <a:schemeClr val="tx1">
                  <a:lumMod val="15000"/>
                  <a:lumOff val="85000"/>
                </a:schemeClr>
              </a:solidFill>
              <a:round/>
            </a:ln>
            <a:effectLst/>
          </c:spPr>
        </c:majorGridlines>
        <c:numFmt formatCode="&quot;₹&quot;\ #,##0" sourceLinked="1"/>
        <c:majorTickMark val="none"/>
        <c:minorTickMark val="none"/>
        <c:tickLblPos val="nextTo"/>
        <c:crossAx val="349443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317500</xdr:colOff>
      <xdr:row>0</xdr:row>
      <xdr:rowOff>15875</xdr:rowOff>
    </xdr:from>
    <xdr:to>
      <xdr:col>6</xdr:col>
      <xdr:colOff>88900</xdr:colOff>
      <xdr:row>10</xdr:row>
      <xdr:rowOff>38100</xdr:rowOff>
    </xdr:to>
    <xdr:graphicFrame macro="">
      <xdr:nvGraphicFramePr>
        <xdr:cNvPr id="4" name="Chart 3">
          <a:extLst>
            <a:ext uri="{FF2B5EF4-FFF2-40B4-BE49-F238E27FC236}">
              <a16:creationId xmlns:a16="http://schemas.microsoft.com/office/drawing/2014/main" id="{62B77759-22FB-28CD-A6DD-294104FD04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685800</xdr:colOff>
      <xdr:row>25</xdr:row>
      <xdr:rowOff>149225</xdr:rowOff>
    </xdr:from>
    <xdr:to>
      <xdr:col>7</xdr:col>
      <xdr:colOff>381000</xdr:colOff>
      <xdr:row>38</xdr:row>
      <xdr:rowOff>114300</xdr:rowOff>
    </xdr:to>
    <xdr:graphicFrame macro="">
      <xdr:nvGraphicFramePr>
        <xdr:cNvPr id="5" name="Chart 4">
          <a:extLst>
            <a:ext uri="{FF2B5EF4-FFF2-40B4-BE49-F238E27FC236}">
              <a16:creationId xmlns:a16="http://schemas.microsoft.com/office/drawing/2014/main" id="{683E014D-2ED6-4530-8FE4-4D5B6CDAC8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165100</xdr:colOff>
      <xdr:row>11</xdr:row>
      <xdr:rowOff>168275</xdr:rowOff>
    </xdr:from>
    <xdr:to>
      <xdr:col>8</xdr:col>
      <xdr:colOff>158750</xdr:colOff>
      <xdr:row>23</xdr:row>
      <xdr:rowOff>177800</xdr:rowOff>
    </xdr:to>
    <xdr:graphicFrame macro="">
      <xdr:nvGraphicFramePr>
        <xdr:cNvPr id="6" name="Chart 5">
          <a:extLst>
            <a:ext uri="{FF2B5EF4-FFF2-40B4-BE49-F238E27FC236}">
              <a16:creationId xmlns:a16="http://schemas.microsoft.com/office/drawing/2014/main" id="{5ABC9717-ABB1-8C9D-BABF-3AF3AFC52A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298450</xdr:colOff>
      <xdr:row>39</xdr:row>
      <xdr:rowOff>136525</xdr:rowOff>
    </xdr:from>
    <xdr:to>
      <xdr:col>8</xdr:col>
      <xdr:colOff>463550</xdr:colOff>
      <xdr:row>54</xdr:row>
      <xdr:rowOff>117475</xdr:rowOff>
    </xdr:to>
    <xdr:graphicFrame macro="">
      <xdr:nvGraphicFramePr>
        <xdr:cNvPr id="7" name="Chart 6">
          <a:extLst>
            <a:ext uri="{FF2B5EF4-FFF2-40B4-BE49-F238E27FC236}">
              <a16:creationId xmlns:a16="http://schemas.microsoft.com/office/drawing/2014/main" id="{8858746C-96DD-8DDE-4D53-218360B3FCE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589234</xdr:colOff>
      <xdr:row>4</xdr:row>
      <xdr:rowOff>21577</xdr:rowOff>
    </xdr:from>
    <xdr:to>
      <xdr:col>5</xdr:col>
      <xdr:colOff>228600</xdr:colOff>
      <xdr:row>15</xdr:row>
      <xdr:rowOff>32657</xdr:rowOff>
    </xdr:to>
    <mc:AlternateContent xmlns:mc="http://schemas.openxmlformats.org/markup-compatibility/2006" xmlns:a14="http://schemas.microsoft.com/office/drawing/2010/main">
      <mc:Choice Requires="a14">
        <xdr:graphicFrame macro="">
          <xdr:nvGraphicFramePr>
            <xdr:cNvPr id="2" name="Region 1">
              <a:extLst>
                <a:ext uri="{FF2B5EF4-FFF2-40B4-BE49-F238E27FC236}">
                  <a16:creationId xmlns:a16="http://schemas.microsoft.com/office/drawing/2014/main" id="{1D0FF9AF-E076-4172-A0D4-81BAC442B376}"/>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808434" y="761806"/>
              <a:ext cx="1468166" cy="20467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604345</xdr:colOff>
      <xdr:row>7</xdr:row>
      <xdr:rowOff>89338</xdr:rowOff>
    </xdr:from>
    <xdr:to>
      <xdr:col>16</xdr:col>
      <xdr:colOff>604346</xdr:colOff>
      <xdr:row>15</xdr:row>
      <xdr:rowOff>41297</xdr:rowOff>
    </xdr:to>
    <mc:AlternateContent xmlns:mc="http://schemas.openxmlformats.org/markup-compatibility/2006" xmlns:tsle="http://schemas.microsoft.com/office/drawing/2012/timeslicer">
      <mc:Choice Requires="tsle">
        <xdr:graphicFrame macro="">
          <xdr:nvGraphicFramePr>
            <xdr:cNvPr id="3" name="Last Updated">
              <a:extLst>
                <a:ext uri="{FF2B5EF4-FFF2-40B4-BE49-F238E27FC236}">
                  <a16:creationId xmlns:a16="http://schemas.microsoft.com/office/drawing/2014/main" id="{EFA51C10-94AE-43FB-82B3-A6027BE9C4D9}"/>
                </a:ext>
              </a:extLst>
            </xdr:cNvPr>
            <xdr:cNvGraphicFramePr/>
          </xdr:nvGraphicFramePr>
          <xdr:xfrm>
            <a:off x="0" y="0"/>
            <a:ext cx="0" cy="0"/>
          </xdr:xfrm>
          <a:graphic>
            <a:graphicData uri="http://schemas.microsoft.com/office/drawing/2012/timeslicer">
              <tsle:timeslicer name="Last Updated"/>
            </a:graphicData>
          </a:graphic>
        </xdr:graphicFrame>
      </mc:Choice>
      <mc:Fallback xmlns="">
        <xdr:sp macro="" textlink="">
          <xdr:nvSpPr>
            <xdr:cNvPr id="0" name=""/>
            <xdr:cNvSpPr>
              <a:spLocks noTextEdit="1"/>
            </xdr:cNvSpPr>
          </xdr:nvSpPr>
          <xdr:spPr>
            <a:xfrm>
              <a:off x="3652345" y="1384738"/>
              <a:ext cx="6694715" cy="1432416"/>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2</xdr:col>
      <xdr:colOff>606356</xdr:colOff>
      <xdr:row>16</xdr:row>
      <xdr:rowOff>2776</xdr:rowOff>
    </xdr:from>
    <xdr:to>
      <xdr:col>9</xdr:col>
      <xdr:colOff>446313</xdr:colOff>
      <xdr:row>25</xdr:row>
      <xdr:rowOff>168613</xdr:rowOff>
    </xdr:to>
    <xdr:graphicFrame macro="">
      <xdr:nvGraphicFramePr>
        <xdr:cNvPr id="4" name="Chart 3">
          <a:extLst>
            <a:ext uri="{FF2B5EF4-FFF2-40B4-BE49-F238E27FC236}">
              <a16:creationId xmlns:a16="http://schemas.microsoft.com/office/drawing/2014/main" id="{117F9F97-1B19-49D9-B010-BBB437B29A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119743</xdr:colOff>
      <xdr:row>15</xdr:row>
      <xdr:rowOff>170010</xdr:rowOff>
    </xdr:from>
    <xdr:to>
      <xdr:col>16</xdr:col>
      <xdr:colOff>592016</xdr:colOff>
      <xdr:row>25</xdr:row>
      <xdr:rowOff>152091</xdr:rowOff>
    </xdr:to>
    <xdr:graphicFrame macro="">
      <xdr:nvGraphicFramePr>
        <xdr:cNvPr id="5" name="Chart 4">
          <a:extLst>
            <a:ext uri="{FF2B5EF4-FFF2-40B4-BE49-F238E27FC236}">
              <a16:creationId xmlns:a16="http://schemas.microsoft.com/office/drawing/2014/main" id="{DE9117FE-B065-4580-9780-5D2E6C5B64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17416</xdr:colOff>
      <xdr:row>26</xdr:row>
      <xdr:rowOff>137160</xdr:rowOff>
    </xdr:from>
    <xdr:to>
      <xdr:col>9</xdr:col>
      <xdr:colOff>457199</xdr:colOff>
      <xdr:row>37</xdr:row>
      <xdr:rowOff>129539</xdr:rowOff>
    </xdr:to>
    <xdr:graphicFrame macro="">
      <xdr:nvGraphicFramePr>
        <xdr:cNvPr id="6" name="Chart 5">
          <a:extLst>
            <a:ext uri="{FF2B5EF4-FFF2-40B4-BE49-F238E27FC236}">
              <a16:creationId xmlns:a16="http://schemas.microsoft.com/office/drawing/2014/main" id="{CF530FF6-7199-49C4-8AF5-E054AFC55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119743</xdr:colOff>
      <xdr:row>26</xdr:row>
      <xdr:rowOff>129540</xdr:rowOff>
    </xdr:from>
    <xdr:to>
      <xdr:col>16</xdr:col>
      <xdr:colOff>579121</xdr:colOff>
      <xdr:row>37</xdr:row>
      <xdr:rowOff>121920</xdr:rowOff>
    </xdr:to>
    <xdr:graphicFrame macro="">
      <xdr:nvGraphicFramePr>
        <xdr:cNvPr id="7" name="Chart 6">
          <a:extLst>
            <a:ext uri="{FF2B5EF4-FFF2-40B4-BE49-F238E27FC236}">
              <a16:creationId xmlns:a16="http://schemas.microsoft.com/office/drawing/2014/main" id="{8B0907A3-18B7-45CB-A0E0-F1B01B1DFD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177.698879745367" createdVersion="8" refreshedVersion="8" minRefreshableVersion="3" recordCount="301" xr:uid="{30F51DB3-DD69-4E98-9D7D-9EF131DC3B5B}">
  <cacheSource type="worksheet">
    <worksheetSource ref="A1:L302" sheet="Sales_Data"/>
  </cacheSource>
  <cacheFields count="12">
    <cacheField name="Item ID" numFmtId="0">
      <sharedItems/>
    </cacheField>
    <cacheField name="Product Name" numFmtId="0">
      <sharedItems count="301">
        <s v="Product_1"/>
        <s v="Product_2"/>
        <s v="Product_3"/>
        <s v="Product_4"/>
        <s v="Product_5"/>
        <s v="Product_6"/>
        <s v="Product_7"/>
        <s v="Product_8"/>
        <s v="Product_9"/>
        <s v="Product_10"/>
        <s v="Product_11"/>
        <s v="Product_12"/>
        <s v="Product_13"/>
        <s v="Product_14"/>
        <s v="Product_15"/>
        <s v="Product_16"/>
        <s v="Product_17"/>
        <s v="Product_18"/>
        <s v="Product_19"/>
        <s v="Product_20"/>
        <s v="Product_21"/>
        <s v="Product_22"/>
        <s v="Product_23"/>
        <s v="Product_24"/>
        <s v="Product_25"/>
        <s v="Product_26"/>
        <s v="Product_27"/>
        <s v="Product_28"/>
        <s v="Product_29"/>
        <s v="Product_30"/>
        <s v="Product_31"/>
        <s v="Product_32"/>
        <s v="Product_33"/>
        <s v="Product_34"/>
        <s v="Product_35"/>
        <s v="Product_36"/>
        <s v="Product_37"/>
        <s v="Product_38"/>
        <s v="Product_39"/>
        <s v="Product_40"/>
        <s v="Product_41"/>
        <s v="Product_42"/>
        <s v="Product_43"/>
        <s v="Product_44"/>
        <s v="Product_45"/>
        <s v="Product_46"/>
        <s v="Product_47"/>
        <s v="Product_48"/>
        <s v="Product_49"/>
        <s v="Product_50"/>
        <s v="Product_51"/>
        <s v="Product_52"/>
        <s v="Product_53"/>
        <s v="Product_54"/>
        <s v="Product_55"/>
        <s v="Product_56"/>
        <s v="Product_57"/>
        <s v="Product_58"/>
        <s v="Product_59"/>
        <s v="Product_60"/>
        <s v="Product_61"/>
        <s v="Product_62"/>
        <s v="Product_63"/>
        <s v="Product_64"/>
        <s v="Product_65"/>
        <s v="Product_66"/>
        <s v="Product_67"/>
        <s v="Product_68"/>
        <s v="Product_69"/>
        <s v="Product_70"/>
        <s v="Product_71"/>
        <s v="Product_72"/>
        <s v="Product_73"/>
        <s v="Product_74"/>
        <s v="Product_75"/>
        <s v="Product_76"/>
        <s v="Product_77"/>
        <s v="Product_78"/>
        <s v="Product_79"/>
        <s v="Product_80"/>
        <s v="Product_81"/>
        <s v="Product_82"/>
        <s v="Product_83"/>
        <s v="Product_84"/>
        <s v="Product_85"/>
        <s v="Product_86"/>
        <s v="Product_87"/>
        <s v="Product_88"/>
        <s v="Product_89"/>
        <s v="Product_90"/>
        <s v="Product_91"/>
        <s v="Product_92"/>
        <s v="Product_93"/>
        <s v="Product_94"/>
        <s v="Product_95"/>
        <s v="Product_96"/>
        <s v="Product_97"/>
        <s v="Product_98"/>
        <s v="Product_99"/>
        <s v="Product_100"/>
        <s v="Product_101"/>
        <s v="Product_102"/>
        <s v="Product_103"/>
        <s v="Product_104"/>
        <s v="Product_105"/>
        <s v="Product_106"/>
        <s v="Product_107"/>
        <s v="Product_108"/>
        <s v="Product_109"/>
        <s v="Product_110"/>
        <s v="Product_111"/>
        <s v="Product_112"/>
        <s v="Product_113"/>
        <s v="Product_114"/>
        <s v="Product_115"/>
        <s v="Product_116"/>
        <s v="Product_117"/>
        <s v="Product_118"/>
        <s v="Product_119"/>
        <s v="Product_120"/>
        <s v="Product_121"/>
        <s v="Product_122"/>
        <s v="Product_123"/>
        <s v="Product_124"/>
        <s v="Product_125"/>
        <s v="Product_126"/>
        <s v="Product_127"/>
        <s v="Product_128"/>
        <s v="Product_129"/>
        <s v="Product_130"/>
        <s v="Product_131"/>
        <s v="Product_132"/>
        <s v="Product_133"/>
        <s v="Product_134"/>
        <s v="Product_135"/>
        <s v="Product_136"/>
        <s v="Product_137"/>
        <s v="Product_138"/>
        <s v="Product_139"/>
        <s v="Product_140"/>
        <s v="Product_141"/>
        <s v="Product_142"/>
        <s v="Product_143"/>
        <s v="Product_144"/>
        <s v="Product_145"/>
        <s v="Product_146"/>
        <s v="Product_147"/>
        <s v="Product_148"/>
        <s v="Product_149"/>
        <s v="Product_150"/>
        <s v="Product_151"/>
        <s v="Product_152"/>
        <s v="Product_153"/>
        <s v="Product_154"/>
        <s v="Product_155"/>
        <s v="Product_156"/>
        <s v="Product_157"/>
        <s v="Product_158"/>
        <s v="Product_159"/>
        <s v="Product_160"/>
        <s v="Product_161"/>
        <s v="Product_162"/>
        <s v="Product_163"/>
        <s v="Product_164"/>
        <s v="Product_165"/>
        <s v="Product_166"/>
        <s v="Product_167"/>
        <s v="Product_168"/>
        <s v="Product_169"/>
        <s v="Product_170"/>
        <s v="Product_171"/>
        <s v="Product_172"/>
        <s v="Product_173"/>
        <s v="Product_174"/>
        <s v="Product_175"/>
        <s v="Product_176"/>
        <s v="Product_177"/>
        <s v="Product_178"/>
        <s v="Product_179"/>
        <s v="Product_180"/>
        <s v="Product_181"/>
        <s v="Product_182"/>
        <s v="Product_183"/>
        <s v="Product_184"/>
        <s v="Product_185"/>
        <s v="Product_186"/>
        <s v="Product_187"/>
        <s v="Product_188"/>
        <s v="Product_189"/>
        <s v="Product_190"/>
        <s v="Product_191"/>
        <s v="Product_192"/>
        <s v="Product_193"/>
        <s v="Product_194"/>
        <s v="Product_195"/>
        <s v="Product_196"/>
        <s v="Product_197"/>
        <s v="Product_198"/>
        <s v="Product_199"/>
        <s v="Product_200"/>
        <s v="Product_201"/>
        <s v="Product_202"/>
        <s v="Product_203"/>
        <s v="Product_204"/>
        <s v="Product_205"/>
        <s v="Product_206"/>
        <s v="Product_207"/>
        <s v="Product_208"/>
        <s v="Product_209"/>
        <s v="Product_210"/>
        <s v="Product_211"/>
        <s v="Product_212"/>
        <s v="Product_213"/>
        <s v="Product_214"/>
        <s v="Product_215"/>
        <s v="Product_216"/>
        <s v="Product_217"/>
        <s v="Product_218"/>
        <s v="Product_219"/>
        <s v="Product_220"/>
        <s v="Product_221"/>
        <s v="Product_222"/>
        <s v="Product_223"/>
        <s v="Product_224"/>
        <s v="Product_225"/>
        <s v="Product_226"/>
        <s v="Product_227"/>
        <s v="Product_228"/>
        <s v="Product_229"/>
        <s v="Product_230"/>
        <s v="Product_231"/>
        <s v="Product_232"/>
        <s v="Product_233"/>
        <s v="Product_234"/>
        <s v="Product_235"/>
        <s v="Product_236"/>
        <s v="Product_237"/>
        <s v="Product_238"/>
        <s v="Product_239"/>
        <s v="Product_240"/>
        <s v="Product_241"/>
        <s v="Product_242"/>
        <s v="Product_243"/>
        <s v="Product_244"/>
        <s v="Product_245"/>
        <s v="Product_246"/>
        <s v="Product_247"/>
        <s v="Product_248"/>
        <s v="Product_249"/>
        <s v="Product_250"/>
        <s v="Product_251"/>
        <s v="Product_252"/>
        <s v="Product_253"/>
        <s v="Product_254"/>
        <s v="Product_255"/>
        <s v="Product_256"/>
        <s v="Product_257"/>
        <s v="Product_258"/>
        <s v="Product_259"/>
        <s v="Product_260"/>
        <s v="Product_261"/>
        <s v="Product_262"/>
        <s v="Product_263"/>
        <s v="Product_264"/>
        <s v="Product_265"/>
        <s v="Product_266"/>
        <s v="Product_267"/>
        <s v="Product_268"/>
        <s v="Product_269"/>
        <s v="Product_270"/>
        <s v="Product_271"/>
        <s v="Product_272"/>
        <s v="Product_273"/>
        <s v="Product_274"/>
        <s v="Product_275"/>
        <s v="Product_276"/>
        <s v="Product_277"/>
        <s v="Product_278"/>
        <s v="Product_279"/>
        <s v="Product_280"/>
        <s v="Product_281"/>
        <s v="Product_282"/>
        <s v="Product_283"/>
        <s v="Product_284"/>
        <s v="Product_285"/>
        <s v="Product_286"/>
        <s v="Product_287"/>
        <s v="Product_288"/>
        <s v="Product_289"/>
        <s v="Product_290"/>
        <s v="Product_291"/>
        <s v="Product_292"/>
        <s v="Product_293"/>
        <s v="Product_294"/>
        <s v="Product_295"/>
        <s v="Product_296"/>
        <s v="Product_297"/>
        <s v="Product_298"/>
        <s v="Product_299"/>
        <s v="Product_300"/>
        <s v="Product_301"/>
      </sharedItems>
    </cacheField>
    <cacheField name="Category" numFmtId="0">
      <sharedItems count="10">
        <s v="Books"/>
        <s v="Furniture"/>
        <s v="Tools"/>
        <s v="Sports"/>
        <s v="Automotive"/>
        <s v="Food &amp; Beverage"/>
        <s v="Toys"/>
        <s v="Clothing"/>
        <s v="Electronics"/>
        <s v="Cosmetics"/>
      </sharedItems>
    </cacheField>
    <cacheField name="Supplier" numFmtId="0">
      <sharedItems/>
    </cacheField>
    <cacheField name="Warehouse" numFmtId="0">
      <sharedItems count="6">
        <s v="WH-Mumbai"/>
        <s v="WH-Ahmedabad"/>
        <s v="WH-Bangalore"/>
        <s v="WH-Chennai"/>
        <s v="WH-Kolkata"/>
        <s v="WH-Delhi"/>
      </sharedItems>
    </cacheField>
    <cacheField name="Unit Price (₹)" numFmtId="4">
      <sharedItems containsSemiMixedTypes="0" containsString="0" containsNumber="1" minValue="26.8" maxValue="4993.76"/>
    </cacheField>
    <cacheField name="Quantity" numFmtId="1">
      <sharedItems containsSemiMixedTypes="0" containsString="0" containsNumber="1" containsInteger="1" minValue="1" maxValue="4"/>
    </cacheField>
    <cacheField name="Reorder Level" numFmtId="2">
      <sharedItems containsSemiMixedTypes="0" containsString="0" containsNumber="1" containsInteger="1" minValue="10" maxValue="99"/>
    </cacheField>
    <cacheField name="Total Sales(₹)" numFmtId="165">
      <sharedItems containsSemiMixedTypes="0" containsString="0" containsNumber="1" minValue="26.8" maxValue="19305.72"/>
    </cacheField>
    <cacheField name="Status" numFmtId="0">
      <sharedItems/>
    </cacheField>
    <cacheField name="Last Updated" numFmtId="14">
      <sharedItems containsSemiMixedTypes="0" containsNonDate="0" containsDate="1" containsString="0" minDate="2024-01-05T00:00:00" maxDate="2025-12-29T00:00:00" count="244">
        <d v="2024-04-26T00:00:00"/>
        <d v="2024-12-04T00:00:00"/>
        <d v="2024-09-26T00:00:00"/>
        <d v="2024-08-14T00:00:00"/>
        <d v="2024-09-16T00:00:00"/>
        <d v="2024-01-24T00:00:00"/>
        <d v="2024-06-23T00:00:00"/>
        <d v="2024-10-09T00:00:00"/>
        <d v="2024-09-10T00:00:00"/>
        <d v="2024-12-21T00:00:00"/>
        <d v="2024-06-10T00:00:00"/>
        <d v="2024-02-06T00:00:00"/>
        <d v="2024-09-17T00:00:00"/>
        <d v="2024-12-23T00:00:00"/>
        <d v="2024-09-03T00:00:00"/>
        <d v="2024-10-08T00:00:00"/>
        <d v="2024-11-04T00:00:00"/>
        <d v="2024-11-28T00:00:00"/>
        <d v="2024-01-19T00:00:00"/>
        <d v="2024-01-16T00:00:00"/>
        <d v="2024-04-10T00:00:00"/>
        <d v="2024-07-16T00:00:00"/>
        <d v="2024-02-11T00:00:00"/>
        <d v="2024-08-11T00:00:00"/>
        <d v="2024-05-27T00:00:00"/>
        <d v="2024-03-22T00:00:00"/>
        <d v="2024-01-05T00:00:00"/>
        <d v="2024-07-19T00:00:00"/>
        <d v="2024-02-13T00:00:00"/>
        <d v="2024-12-14T00:00:00"/>
        <d v="2024-09-11T00:00:00"/>
        <d v="2024-11-13T00:00:00"/>
        <d v="2024-04-14T00:00:00"/>
        <d v="2024-04-27T00:00:00"/>
        <d v="2024-04-15T00:00:00"/>
        <d v="2024-10-18T00:00:00"/>
        <d v="2024-03-21T00:00:00"/>
        <d v="2024-12-13T00:00:00"/>
        <d v="2024-06-22T00:00:00"/>
        <d v="2024-04-12T00:00:00"/>
        <d v="2024-11-21T00:00:00"/>
        <d v="2024-03-15T00:00:00"/>
        <d v="2024-07-07T00:00:00"/>
        <d v="2024-09-02T00:00:00"/>
        <d v="2024-01-11T00:00:00"/>
        <d v="2024-04-11T00:00:00"/>
        <d v="2024-02-17T00:00:00"/>
        <d v="2024-10-24T00:00:00"/>
        <d v="2024-07-25T00:00:00"/>
        <d v="2024-11-12T00:00:00"/>
        <d v="2024-04-06T00:00:00"/>
        <d v="2024-06-02T00:00:00"/>
        <d v="2024-11-06T00:00:00"/>
        <d v="2024-07-14T00:00:00"/>
        <d v="2024-08-02T00:00:00"/>
        <d v="2024-12-19T00:00:00"/>
        <d v="2024-12-25T00:00:00"/>
        <d v="2024-02-16T00:00:00"/>
        <d v="2024-01-27T00:00:00"/>
        <d v="2024-08-06T00:00:00"/>
        <d v="2024-05-10T00:00:00"/>
        <d v="2024-10-16T00:00:00"/>
        <d v="2024-08-09T00:00:00"/>
        <d v="2024-12-12T00:00:00"/>
        <d v="2024-09-01T00:00:00"/>
        <d v="2024-02-05T00:00:00"/>
        <d v="2024-06-04T00:00:00"/>
        <d v="2024-05-11T00:00:00"/>
        <d v="2024-02-23T00:00:00"/>
        <d v="2024-05-12T00:00:00"/>
        <d v="2024-10-21T00:00:00"/>
        <d v="2024-05-03T00:00:00"/>
        <d v="2024-11-19T00:00:00"/>
        <d v="2024-09-19T00:00:00"/>
        <d v="2024-04-08T00:00:00"/>
        <d v="2024-09-06T00:00:00"/>
        <d v="2024-12-17T00:00:00"/>
        <d v="2024-07-10T00:00:00"/>
        <d v="2024-08-17T00:00:00"/>
        <d v="2024-03-28T00:00:00"/>
        <d v="2024-09-08T00:00:00"/>
        <d v="2024-05-26T00:00:00"/>
        <d v="2024-08-23T00:00:00"/>
        <d v="2024-04-19T00:00:00"/>
        <d v="2024-12-24T00:00:00"/>
        <d v="2024-07-06T00:00:00"/>
        <d v="2024-06-03T00:00:00"/>
        <d v="2024-05-24T00:00:00"/>
        <d v="2024-11-22T00:00:00"/>
        <d v="2024-11-25T00:00:00"/>
        <d v="2024-07-02T00:00:00"/>
        <d v="2024-10-04T00:00:00"/>
        <d v="2024-12-05T00:00:00"/>
        <d v="2024-01-09T00:00:00"/>
        <d v="2024-05-23T00:00:00"/>
        <d v="2024-10-28T00:00:00"/>
        <d v="2024-08-25T00:00:00"/>
        <d v="2024-08-12T00:00:00"/>
        <d v="2024-02-20T00:00:00"/>
        <d v="2024-02-04T00:00:00"/>
        <d v="2024-05-06T00:00:00"/>
        <d v="2024-11-09T00:00:00"/>
        <d v="2024-02-08T00:00:00"/>
        <d v="2024-10-07T00:00:00"/>
        <d v="2024-09-24T00:00:00"/>
        <d v="2024-06-25T00:00:00"/>
        <d v="2024-08-16T00:00:00"/>
        <d v="2024-09-23T00:00:00"/>
        <d v="2024-04-21T00:00:00"/>
        <d v="2024-02-27T00:00:00"/>
        <d v="2024-10-13T00:00:00"/>
        <d v="2024-07-22T00:00:00"/>
        <d v="2024-09-27T00:00:00"/>
        <d v="2024-01-18T00:00:00"/>
        <d v="2024-08-28T00:00:00"/>
        <d v="2024-06-15T00:00:00"/>
        <d v="2025-09-07T00:00:00"/>
        <d v="2025-12-01T00:00:00"/>
        <d v="2025-03-02T00:00:00"/>
        <d v="2025-08-05T00:00:00"/>
        <d v="2025-03-05T00:00:00"/>
        <d v="2025-12-07T00:00:00"/>
        <d v="2025-08-07T00:00:00"/>
        <d v="2025-02-24T00:00:00"/>
        <d v="2025-05-27T00:00:00"/>
        <d v="2025-07-04T00:00:00"/>
        <d v="2025-11-07T00:00:00"/>
        <d v="2025-03-14T00:00:00"/>
        <d v="2025-09-10T00:00:00"/>
        <d v="2025-04-23T00:00:00"/>
        <d v="2025-07-03T00:00:00"/>
        <d v="2025-02-21T00:00:00"/>
        <d v="2025-06-26T00:00:00"/>
        <d v="2025-02-28T00:00:00"/>
        <d v="2025-11-10T00:00:00"/>
        <d v="2025-04-08T00:00:00"/>
        <d v="2025-12-10T00:00:00"/>
        <d v="2025-08-15T00:00:00"/>
        <d v="2025-07-19T00:00:00"/>
        <d v="2025-01-16T00:00:00"/>
        <d v="2025-11-18T00:00:00"/>
        <d v="2025-07-07T00:00:00"/>
        <d v="2025-09-11T00:00:00"/>
        <d v="2025-04-17T00:00:00"/>
        <d v="2025-06-22T00:00:00"/>
        <d v="2025-05-21T00:00:00"/>
        <d v="2025-07-10T00:00:00"/>
        <d v="2025-03-09T00:00:00"/>
        <d v="2025-10-01T00:00:00"/>
        <d v="2025-02-01T00:00:00"/>
        <d v="2025-05-15T00:00:00"/>
        <d v="2025-02-02T00:00:00"/>
        <d v="2025-01-06T00:00:00"/>
        <d v="2025-07-24T00:00:00"/>
        <d v="2025-10-04T00:00:00"/>
        <d v="2025-08-18T00:00:00"/>
        <d v="2025-08-27T00:00:00"/>
        <d v="2025-12-26T00:00:00"/>
        <d v="2025-02-07T00:00:00"/>
        <d v="2025-02-03T00:00:00"/>
        <d v="2025-10-06T00:00:00"/>
        <d v="2025-03-12T00:00:00"/>
        <d v="2025-08-14T00:00:00"/>
        <d v="2025-04-09T00:00:00"/>
        <d v="2025-04-11T00:00:00"/>
        <d v="2025-03-15T00:00:00"/>
        <d v="2025-09-03T00:00:00"/>
        <d v="2025-01-15T00:00:00"/>
        <d v="2025-09-08T00:00:00"/>
        <d v="2025-07-21T00:00:00"/>
        <d v="2025-03-17T00:00:00"/>
        <d v="2025-05-25T00:00:00"/>
        <d v="2025-12-17T00:00:00"/>
        <d v="2025-05-14T00:00:00"/>
        <d v="2025-06-16T00:00:00"/>
        <d v="2025-02-06T00:00:00"/>
        <d v="2025-04-13T00:00:00"/>
        <d v="2025-01-03T00:00:00"/>
        <d v="2025-12-23T00:00:00"/>
        <d v="2025-06-21T00:00:00"/>
        <d v="2025-02-17T00:00:00"/>
        <d v="2025-06-14T00:00:00"/>
        <d v="2025-07-28T00:00:00"/>
        <d v="2025-02-22T00:00:00"/>
        <d v="2025-06-24T00:00:00"/>
        <d v="2025-06-07T00:00:00"/>
        <d v="2025-04-16T00:00:00"/>
        <d v="2025-07-26T00:00:00"/>
        <d v="2025-06-23T00:00:00"/>
        <d v="2025-06-03T00:00:00"/>
        <d v="2025-11-15T00:00:00"/>
        <d v="2025-09-15T00:00:00"/>
        <d v="2025-09-27T00:00:00"/>
        <d v="2025-11-20T00:00:00"/>
        <d v="2025-09-09T00:00:00"/>
        <d v="2025-04-05T00:00:00"/>
        <d v="2025-12-09T00:00:00"/>
        <d v="2025-09-25T00:00:00"/>
        <d v="2025-05-17T00:00:00"/>
        <d v="2025-12-27T00:00:00"/>
        <d v="2025-05-06T00:00:00"/>
        <d v="2025-01-09T00:00:00"/>
        <d v="2025-05-23T00:00:00"/>
        <d v="2025-05-16T00:00:00"/>
        <d v="2025-10-08T00:00:00"/>
        <d v="2025-03-11T00:00:00"/>
        <d v="2025-03-13T00:00:00"/>
        <d v="2025-06-27T00:00:00"/>
        <d v="2025-01-21T00:00:00"/>
        <d v="2025-02-18T00:00:00"/>
        <d v="2025-04-25T00:00:00"/>
        <d v="2025-05-10T00:00:00"/>
        <d v="2025-01-17T00:00:00"/>
        <d v="2025-03-26T00:00:00"/>
        <d v="2025-11-27T00:00:00"/>
        <d v="2025-02-08T00:00:00"/>
        <d v="2025-05-07T00:00:00"/>
        <d v="2025-07-23T00:00:00"/>
        <d v="2025-04-10T00:00:00"/>
        <d v="2025-08-03T00:00:00"/>
        <d v="2025-12-28T00:00:00"/>
        <d v="2025-01-24T00:00:00"/>
        <d v="2025-06-10T00:00:00"/>
        <d v="2025-08-22T00:00:00"/>
        <d v="2025-03-10T00:00:00"/>
        <d v="2025-02-15T00:00:00"/>
        <d v="2025-12-19T00:00:00"/>
        <d v="2025-05-24T00:00:00"/>
        <d v="2025-11-26T00:00:00"/>
        <d v="2025-08-20T00:00:00"/>
        <d v="2025-04-22T00:00:00"/>
        <d v="2025-07-13T00:00:00"/>
        <d v="2025-09-06T00:00:00"/>
        <d v="2025-06-12T00:00:00"/>
        <d v="2025-09-21T00:00:00"/>
        <d v="2025-08-16T00:00:00"/>
        <d v="2025-06-25T00:00:00"/>
        <d v="2025-11-16T00:00:00"/>
        <d v="2025-10-19T00:00:00"/>
        <d v="2025-06-09T00:00:00"/>
        <d v="2025-06-06T00:00:00"/>
        <d v="2025-06-20T00:00:00"/>
        <d v="2025-05-20T00:00:00"/>
        <d v="2025-11-08T00:00:00"/>
      </sharedItems>
    </cacheField>
    <cacheField name="Region" numFmtId="0">
      <sharedItems count="4">
        <s v="North"/>
        <s v="South"/>
        <s v="East"/>
        <s v="West"/>
      </sharedItems>
    </cacheField>
  </cacheFields>
  <extLst>
    <ext xmlns:x14="http://schemas.microsoft.com/office/spreadsheetml/2009/9/main" uri="{725AE2AE-9491-48be-B2B4-4EB974FC3084}">
      <x14:pivotCacheDefinition pivotCacheId="4540598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
  <r>
    <s v="INV-000001"/>
    <x v="0"/>
    <x v="0"/>
    <s v="FastSource"/>
    <x v="0"/>
    <n v="1129.05"/>
    <n v="1"/>
    <n v="54"/>
    <n v="1129.05"/>
    <s v="In Stock"/>
    <x v="0"/>
    <x v="0"/>
  </r>
  <r>
    <s v="INV-000002"/>
    <x v="1"/>
    <x v="1"/>
    <s v="SupplyCo"/>
    <x v="1"/>
    <n v="1686.65"/>
    <n v="2"/>
    <n v="61"/>
    <n v="3373.3"/>
    <s v="Low Stock"/>
    <x v="1"/>
    <x v="1"/>
  </r>
  <r>
    <s v="INV-000003"/>
    <x v="2"/>
    <x v="2"/>
    <s v="ZenithSupply"/>
    <x v="2"/>
    <n v="2067.48"/>
    <n v="3"/>
    <n v="18"/>
    <n v="6202.4400000000005"/>
    <s v="Discontinued"/>
    <x v="2"/>
    <x v="2"/>
  </r>
  <r>
    <s v="INV-000004"/>
    <x v="3"/>
    <x v="3"/>
    <s v="AlphaGoods"/>
    <x v="0"/>
    <n v="2977"/>
    <n v="4"/>
    <n v="13"/>
    <n v="11908"/>
    <s v="In Stock"/>
    <x v="3"/>
    <x v="3"/>
  </r>
  <r>
    <s v="INV-000005"/>
    <x v="4"/>
    <x v="0"/>
    <s v="SupplyCo"/>
    <x v="2"/>
    <n v="4253.96"/>
    <n v="1"/>
    <n v="92"/>
    <n v="4253.96"/>
    <s v="In Stock"/>
    <x v="4"/>
    <x v="0"/>
  </r>
  <r>
    <s v="INV-000006"/>
    <x v="5"/>
    <x v="4"/>
    <s v="FastSource"/>
    <x v="2"/>
    <n v="1278.48"/>
    <n v="2"/>
    <n v="37"/>
    <n v="2556.96"/>
    <s v="In Stock"/>
    <x v="4"/>
    <x v="1"/>
  </r>
  <r>
    <s v="INV-000007"/>
    <x v="6"/>
    <x v="5"/>
    <s v="QuickStock"/>
    <x v="3"/>
    <n v="2359.7399999999998"/>
    <n v="3"/>
    <n v="99"/>
    <n v="7079.2199999999993"/>
    <s v="Low Stock"/>
    <x v="5"/>
    <x v="2"/>
  </r>
  <r>
    <s v="INV-000008"/>
    <x v="7"/>
    <x v="0"/>
    <s v="AlphaGoods"/>
    <x v="3"/>
    <n v="3760.15"/>
    <n v="4"/>
    <n v="98"/>
    <n v="15040.6"/>
    <s v="In Stock"/>
    <x v="6"/>
    <x v="3"/>
  </r>
  <r>
    <s v="INV-000009"/>
    <x v="8"/>
    <x v="2"/>
    <s v="MegaSupply"/>
    <x v="2"/>
    <n v="446.05"/>
    <n v="1"/>
    <n v="54"/>
    <n v="446.05"/>
    <s v="In Stock"/>
    <x v="7"/>
    <x v="0"/>
  </r>
  <r>
    <s v="INV-000010"/>
    <x v="9"/>
    <x v="3"/>
    <s v="PrimeParts"/>
    <x v="3"/>
    <n v="2569.34"/>
    <n v="2"/>
    <n v="57"/>
    <n v="5138.68"/>
    <s v="In Stock"/>
    <x v="8"/>
    <x v="1"/>
  </r>
  <r>
    <s v="INV-000011"/>
    <x v="10"/>
    <x v="1"/>
    <s v="AlphaGoods"/>
    <x v="2"/>
    <n v="730.45"/>
    <n v="3"/>
    <n v="50"/>
    <n v="2191.3500000000004"/>
    <s v="Low Stock"/>
    <x v="9"/>
    <x v="2"/>
  </r>
  <r>
    <s v="INV-000012"/>
    <x v="11"/>
    <x v="2"/>
    <s v="QuickStock"/>
    <x v="2"/>
    <n v="2700.35"/>
    <n v="4"/>
    <n v="36"/>
    <n v="10801.4"/>
    <s v="In Stock"/>
    <x v="10"/>
    <x v="3"/>
  </r>
  <r>
    <s v="INV-000013"/>
    <x v="12"/>
    <x v="2"/>
    <s v="FastSource"/>
    <x v="2"/>
    <n v="3841.44"/>
    <n v="1"/>
    <n v="29"/>
    <n v="3841.44"/>
    <s v="In Stock"/>
    <x v="11"/>
    <x v="0"/>
  </r>
  <r>
    <s v="INV-000014"/>
    <x v="13"/>
    <x v="5"/>
    <s v="ZenithSupply"/>
    <x v="1"/>
    <n v="1192.3699999999999"/>
    <n v="2"/>
    <n v="40"/>
    <n v="2384.7399999999998"/>
    <s v="Low Stock"/>
    <x v="12"/>
    <x v="1"/>
  </r>
  <r>
    <s v="INV-000015"/>
    <x v="14"/>
    <x v="6"/>
    <s v="QuickStock"/>
    <x v="3"/>
    <n v="4248.8999999999996"/>
    <n v="3"/>
    <n v="21"/>
    <n v="12746.699999999999"/>
    <s v="In Stock"/>
    <x v="13"/>
    <x v="2"/>
  </r>
  <r>
    <s v="INV-000016"/>
    <x v="15"/>
    <x v="3"/>
    <s v="ZenithSupply"/>
    <x v="1"/>
    <n v="1680.67"/>
    <n v="4"/>
    <n v="98"/>
    <n v="6722.68"/>
    <s v="In Stock"/>
    <x v="14"/>
    <x v="3"/>
  </r>
  <r>
    <s v="INV-000017"/>
    <x v="16"/>
    <x v="7"/>
    <s v="AlphaGoods"/>
    <x v="3"/>
    <n v="962.02"/>
    <n v="1"/>
    <n v="63"/>
    <n v="962.02"/>
    <s v="Low Stock"/>
    <x v="15"/>
    <x v="0"/>
  </r>
  <r>
    <s v="INV-000018"/>
    <x v="17"/>
    <x v="2"/>
    <s v="FastSource"/>
    <x v="3"/>
    <n v="2331.96"/>
    <n v="2"/>
    <n v="99"/>
    <n v="4663.92"/>
    <s v="Discontinued"/>
    <x v="16"/>
    <x v="1"/>
  </r>
  <r>
    <s v="INV-000019"/>
    <x v="18"/>
    <x v="6"/>
    <s v="GlobalTrade"/>
    <x v="1"/>
    <n v="4381.6099999999997"/>
    <n v="3"/>
    <n v="58"/>
    <n v="13144.829999999998"/>
    <s v="Discontinued"/>
    <x v="17"/>
    <x v="2"/>
  </r>
  <r>
    <s v="INV-000020"/>
    <x v="19"/>
    <x v="7"/>
    <s v="QuickStock"/>
    <x v="1"/>
    <n v="353.98"/>
    <n v="4"/>
    <n v="49"/>
    <n v="1415.92"/>
    <s v="In Stock"/>
    <x v="18"/>
    <x v="3"/>
  </r>
  <r>
    <s v="INV-000021"/>
    <x v="20"/>
    <x v="3"/>
    <s v="GlobalTrade"/>
    <x v="1"/>
    <n v="1644.58"/>
    <n v="1"/>
    <n v="57"/>
    <n v="1644.58"/>
    <s v="Out of Stock"/>
    <x v="19"/>
    <x v="0"/>
  </r>
  <r>
    <s v="INV-000022"/>
    <x v="21"/>
    <x v="8"/>
    <s v="AlphaGoods"/>
    <x v="1"/>
    <n v="3269.28"/>
    <n v="2"/>
    <n v="54"/>
    <n v="6538.56"/>
    <s v="In Stock"/>
    <x v="20"/>
    <x v="1"/>
  </r>
  <r>
    <s v="INV-000023"/>
    <x v="22"/>
    <x v="4"/>
    <s v="PrimeParts"/>
    <x v="1"/>
    <n v="1794.33"/>
    <n v="3"/>
    <n v="46"/>
    <n v="5382.99"/>
    <s v="Discontinued"/>
    <x v="12"/>
    <x v="2"/>
  </r>
  <r>
    <s v="INV-000024"/>
    <x v="23"/>
    <x v="6"/>
    <s v="PrimeParts"/>
    <x v="1"/>
    <n v="363.41"/>
    <n v="4"/>
    <n v="99"/>
    <n v="1453.64"/>
    <s v="Low Stock"/>
    <x v="21"/>
    <x v="3"/>
  </r>
  <r>
    <s v="INV-000025"/>
    <x v="24"/>
    <x v="9"/>
    <s v="MegaSupply"/>
    <x v="4"/>
    <n v="1666.67"/>
    <n v="1"/>
    <n v="36"/>
    <n v="1666.67"/>
    <s v="In Stock"/>
    <x v="22"/>
    <x v="0"/>
  </r>
  <r>
    <s v="INV-000026"/>
    <x v="25"/>
    <x v="8"/>
    <s v="ZenithSupply"/>
    <x v="2"/>
    <n v="4106.59"/>
    <n v="2"/>
    <n v="30"/>
    <n v="8213.18"/>
    <s v="Out of Stock"/>
    <x v="23"/>
    <x v="1"/>
  </r>
  <r>
    <s v="INV-000027"/>
    <x v="26"/>
    <x v="4"/>
    <s v="GlobalTrade"/>
    <x v="5"/>
    <n v="4840.51"/>
    <n v="3"/>
    <n v="16"/>
    <n v="14521.53"/>
    <s v="Low Stock"/>
    <x v="24"/>
    <x v="2"/>
  </r>
  <r>
    <s v="INV-000028"/>
    <x v="27"/>
    <x v="5"/>
    <s v="QuickStock"/>
    <x v="3"/>
    <n v="208.5"/>
    <n v="4"/>
    <n v="41"/>
    <n v="834"/>
    <s v="Low Stock"/>
    <x v="25"/>
    <x v="3"/>
  </r>
  <r>
    <s v="INV-000029"/>
    <x v="28"/>
    <x v="0"/>
    <s v="PrimeParts"/>
    <x v="0"/>
    <n v="2850.73"/>
    <n v="1"/>
    <n v="79"/>
    <n v="2850.73"/>
    <s v="Out of Stock"/>
    <x v="26"/>
    <x v="0"/>
  </r>
  <r>
    <s v="INV-000030"/>
    <x v="29"/>
    <x v="1"/>
    <s v="ZenithSupply"/>
    <x v="1"/>
    <n v="535.46"/>
    <n v="2"/>
    <n v="58"/>
    <n v="1070.92"/>
    <s v="In Stock"/>
    <x v="27"/>
    <x v="1"/>
  </r>
  <r>
    <s v="INV-000031"/>
    <x v="30"/>
    <x v="9"/>
    <s v="FastSource"/>
    <x v="5"/>
    <n v="3405.18"/>
    <n v="3"/>
    <n v="66"/>
    <n v="10215.539999999999"/>
    <s v="In Stock"/>
    <x v="28"/>
    <x v="2"/>
  </r>
  <r>
    <s v="INV-000032"/>
    <x v="31"/>
    <x v="5"/>
    <s v="AlphaGoods"/>
    <x v="1"/>
    <n v="49.38"/>
    <n v="4"/>
    <n v="31"/>
    <n v="197.52"/>
    <s v="In Stock"/>
    <x v="2"/>
    <x v="3"/>
  </r>
  <r>
    <s v="INV-000033"/>
    <x v="32"/>
    <x v="3"/>
    <s v="AlphaGoods"/>
    <x v="2"/>
    <n v="83.56"/>
    <n v="1"/>
    <n v="44"/>
    <n v="83.56"/>
    <s v="In Stock"/>
    <x v="29"/>
    <x v="0"/>
  </r>
  <r>
    <s v="INV-000034"/>
    <x v="33"/>
    <x v="5"/>
    <s v="ZenithSupply"/>
    <x v="0"/>
    <n v="3886.63"/>
    <n v="2"/>
    <n v="12"/>
    <n v="7773.26"/>
    <s v="In Stock"/>
    <x v="30"/>
    <x v="1"/>
  </r>
  <r>
    <s v="INV-000035"/>
    <x v="34"/>
    <x v="0"/>
    <s v="ZenithSupply"/>
    <x v="3"/>
    <n v="381.43"/>
    <n v="3"/>
    <n v="31"/>
    <n v="1144.29"/>
    <s v="In Stock"/>
    <x v="31"/>
    <x v="2"/>
  </r>
  <r>
    <s v="INV-000036"/>
    <x v="35"/>
    <x v="3"/>
    <s v="AlphaGoods"/>
    <x v="0"/>
    <n v="1532.86"/>
    <n v="4"/>
    <n v="89"/>
    <n v="6131.44"/>
    <s v="Low Stock"/>
    <x v="32"/>
    <x v="3"/>
  </r>
  <r>
    <s v="INV-000037"/>
    <x v="36"/>
    <x v="9"/>
    <s v="FastSource"/>
    <x v="2"/>
    <n v="4790.62"/>
    <n v="1"/>
    <n v="48"/>
    <n v="4790.62"/>
    <s v="Low Stock"/>
    <x v="33"/>
    <x v="0"/>
  </r>
  <r>
    <s v="INV-000038"/>
    <x v="37"/>
    <x v="0"/>
    <s v="SupplyCo"/>
    <x v="3"/>
    <n v="4926.38"/>
    <n v="2"/>
    <n v="29"/>
    <n v="9852.76"/>
    <s v="Out of Stock"/>
    <x v="34"/>
    <x v="1"/>
  </r>
  <r>
    <s v="INV-000039"/>
    <x v="38"/>
    <x v="7"/>
    <s v="PrimeParts"/>
    <x v="0"/>
    <n v="815.4"/>
    <n v="3"/>
    <n v="22"/>
    <n v="2446.1999999999998"/>
    <s v="Low Stock"/>
    <x v="35"/>
    <x v="2"/>
  </r>
  <r>
    <s v="INV-000040"/>
    <x v="39"/>
    <x v="1"/>
    <s v="MegaSupply"/>
    <x v="4"/>
    <n v="2808.9"/>
    <n v="4"/>
    <n v="48"/>
    <n v="11235.6"/>
    <s v="Low Stock"/>
    <x v="36"/>
    <x v="3"/>
  </r>
  <r>
    <s v="INV-000041"/>
    <x v="40"/>
    <x v="9"/>
    <s v="MegaSupply"/>
    <x v="4"/>
    <n v="2800.15"/>
    <n v="1"/>
    <n v="76"/>
    <n v="2800.15"/>
    <s v="In Stock"/>
    <x v="37"/>
    <x v="0"/>
  </r>
  <r>
    <s v="INV-000042"/>
    <x v="41"/>
    <x v="7"/>
    <s v="QuickStock"/>
    <x v="5"/>
    <n v="2267.38"/>
    <n v="2"/>
    <n v="60"/>
    <n v="4534.76"/>
    <s v="Out of Stock"/>
    <x v="38"/>
    <x v="1"/>
  </r>
  <r>
    <s v="INV-000043"/>
    <x v="42"/>
    <x v="4"/>
    <s v="AlphaGoods"/>
    <x v="1"/>
    <n v="4624.25"/>
    <n v="3"/>
    <n v="73"/>
    <n v="13872.75"/>
    <s v="In Stock"/>
    <x v="28"/>
    <x v="2"/>
  </r>
  <r>
    <s v="INV-000044"/>
    <x v="43"/>
    <x v="9"/>
    <s v="QuickStock"/>
    <x v="4"/>
    <n v="3772.63"/>
    <n v="4"/>
    <n v="54"/>
    <n v="15090.52"/>
    <s v="In Stock"/>
    <x v="39"/>
    <x v="3"/>
  </r>
  <r>
    <s v="INV-000045"/>
    <x v="44"/>
    <x v="4"/>
    <s v="GlobalTrade"/>
    <x v="1"/>
    <n v="3824.99"/>
    <n v="1"/>
    <n v="29"/>
    <n v="3824.99"/>
    <s v="Low Stock"/>
    <x v="40"/>
    <x v="0"/>
  </r>
  <r>
    <s v="INV-000046"/>
    <x v="45"/>
    <x v="3"/>
    <s v="PrimeParts"/>
    <x v="5"/>
    <n v="1355.15"/>
    <n v="2"/>
    <n v="16"/>
    <n v="2710.3"/>
    <s v="Out of Stock"/>
    <x v="41"/>
    <x v="1"/>
  </r>
  <r>
    <s v="INV-000047"/>
    <x v="46"/>
    <x v="7"/>
    <s v="FastSource"/>
    <x v="3"/>
    <n v="2177.2600000000002"/>
    <n v="3"/>
    <n v="78"/>
    <n v="6531.7800000000007"/>
    <s v="Low Stock"/>
    <x v="42"/>
    <x v="2"/>
  </r>
  <r>
    <s v="INV-000048"/>
    <x v="47"/>
    <x v="1"/>
    <s v="FastSource"/>
    <x v="0"/>
    <n v="2442.2399999999998"/>
    <n v="4"/>
    <n v="66"/>
    <n v="9768.9599999999991"/>
    <s v="In Stock"/>
    <x v="43"/>
    <x v="3"/>
  </r>
  <r>
    <s v="INV-000049"/>
    <x v="48"/>
    <x v="0"/>
    <s v="FastSource"/>
    <x v="2"/>
    <n v="1501.57"/>
    <n v="1"/>
    <n v="58"/>
    <n v="1501.57"/>
    <s v="In Stock"/>
    <x v="44"/>
    <x v="0"/>
  </r>
  <r>
    <s v="INV-000050"/>
    <x v="49"/>
    <x v="2"/>
    <s v="PrimeParts"/>
    <x v="3"/>
    <n v="483.14"/>
    <n v="2"/>
    <n v="54"/>
    <n v="966.28"/>
    <s v="In Stock"/>
    <x v="45"/>
    <x v="1"/>
  </r>
  <r>
    <s v="INV-000051"/>
    <x v="50"/>
    <x v="5"/>
    <s v="FastSource"/>
    <x v="3"/>
    <n v="640.53"/>
    <n v="3"/>
    <n v="53"/>
    <n v="1921.59"/>
    <s v="In Stock"/>
    <x v="44"/>
    <x v="2"/>
  </r>
  <r>
    <s v="INV-000052"/>
    <x v="51"/>
    <x v="8"/>
    <s v="GlobalTrade"/>
    <x v="1"/>
    <n v="911.55"/>
    <n v="4"/>
    <n v="19"/>
    <n v="3646.2"/>
    <s v="In Stock"/>
    <x v="46"/>
    <x v="3"/>
  </r>
  <r>
    <s v="INV-000053"/>
    <x v="52"/>
    <x v="1"/>
    <s v="GlobalTrade"/>
    <x v="3"/>
    <n v="1026.23"/>
    <n v="1"/>
    <n v="91"/>
    <n v="1026.23"/>
    <s v="Discontinued"/>
    <x v="47"/>
    <x v="0"/>
  </r>
  <r>
    <s v="INV-000054"/>
    <x v="53"/>
    <x v="7"/>
    <s v="AlphaGoods"/>
    <x v="4"/>
    <n v="1218.8900000000001"/>
    <n v="2"/>
    <n v="16"/>
    <n v="2437.7800000000002"/>
    <s v="In Stock"/>
    <x v="48"/>
    <x v="1"/>
  </r>
  <r>
    <s v="INV-000055"/>
    <x v="54"/>
    <x v="2"/>
    <s v="ZenithSupply"/>
    <x v="4"/>
    <n v="1284.75"/>
    <n v="3"/>
    <n v="42"/>
    <n v="3854.25"/>
    <s v="In Stock"/>
    <x v="49"/>
    <x v="2"/>
  </r>
  <r>
    <s v="INV-000056"/>
    <x v="55"/>
    <x v="1"/>
    <s v="PrimeParts"/>
    <x v="3"/>
    <n v="2284.02"/>
    <n v="4"/>
    <n v="93"/>
    <n v="9136.08"/>
    <s v="In Stock"/>
    <x v="50"/>
    <x v="3"/>
  </r>
  <r>
    <s v="INV-000057"/>
    <x v="56"/>
    <x v="7"/>
    <s v="PrimeParts"/>
    <x v="4"/>
    <n v="2552.77"/>
    <n v="1"/>
    <n v="30"/>
    <n v="2552.77"/>
    <s v="Low Stock"/>
    <x v="48"/>
    <x v="0"/>
  </r>
  <r>
    <s v="INV-000058"/>
    <x v="57"/>
    <x v="6"/>
    <s v="SupplyCo"/>
    <x v="0"/>
    <n v="1551.31"/>
    <n v="2"/>
    <n v="56"/>
    <n v="3102.62"/>
    <s v="In Stock"/>
    <x v="51"/>
    <x v="1"/>
  </r>
  <r>
    <s v="INV-000059"/>
    <x v="58"/>
    <x v="6"/>
    <s v="AlphaGoods"/>
    <x v="4"/>
    <n v="4537.41"/>
    <n v="3"/>
    <n v="21"/>
    <n v="13612.23"/>
    <s v="Low Stock"/>
    <x v="52"/>
    <x v="2"/>
  </r>
  <r>
    <s v="INV-000060"/>
    <x v="59"/>
    <x v="4"/>
    <s v="SupplyCo"/>
    <x v="1"/>
    <n v="2770.17"/>
    <n v="4"/>
    <n v="43"/>
    <n v="11080.68"/>
    <s v="In Stock"/>
    <x v="53"/>
    <x v="3"/>
  </r>
  <r>
    <s v="INV-000061"/>
    <x v="60"/>
    <x v="1"/>
    <s v="AlphaGoods"/>
    <x v="3"/>
    <n v="3939.51"/>
    <n v="1"/>
    <n v="58"/>
    <n v="3939.51"/>
    <s v="In Stock"/>
    <x v="54"/>
    <x v="0"/>
  </r>
  <r>
    <s v="INV-000062"/>
    <x v="61"/>
    <x v="6"/>
    <s v="AlphaGoods"/>
    <x v="5"/>
    <n v="4621.95"/>
    <n v="2"/>
    <n v="55"/>
    <n v="9243.9"/>
    <s v="In Stock"/>
    <x v="55"/>
    <x v="1"/>
  </r>
  <r>
    <s v="INV-000063"/>
    <x v="62"/>
    <x v="7"/>
    <s v="SupplyCo"/>
    <x v="4"/>
    <n v="824.04"/>
    <n v="3"/>
    <n v="71"/>
    <n v="2472.12"/>
    <s v="In Stock"/>
    <x v="56"/>
    <x v="2"/>
  </r>
  <r>
    <s v="INV-000064"/>
    <x v="63"/>
    <x v="4"/>
    <s v="MegaSupply"/>
    <x v="4"/>
    <n v="2145.09"/>
    <n v="4"/>
    <n v="25"/>
    <n v="8580.36"/>
    <s v="Out of Stock"/>
    <x v="57"/>
    <x v="3"/>
  </r>
  <r>
    <s v="INV-000065"/>
    <x v="64"/>
    <x v="7"/>
    <s v="AlphaGoods"/>
    <x v="2"/>
    <n v="2171.7199999999998"/>
    <n v="1"/>
    <n v="67"/>
    <n v="2171.7199999999998"/>
    <s v="Low Stock"/>
    <x v="58"/>
    <x v="0"/>
  </r>
  <r>
    <s v="INV-000066"/>
    <x v="65"/>
    <x v="4"/>
    <s v="GlobalTrade"/>
    <x v="4"/>
    <n v="1778.82"/>
    <n v="2"/>
    <n v="55"/>
    <n v="3557.64"/>
    <s v="Low Stock"/>
    <x v="59"/>
    <x v="1"/>
  </r>
  <r>
    <s v="INV-000067"/>
    <x v="66"/>
    <x v="1"/>
    <s v="SupplyCo"/>
    <x v="0"/>
    <n v="54.44"/>
    <n v="3"/>
    <n v="94"/>
    <n v="163.32"/>
    <s v="In Stock"/>
    <x v="60"/>
    <x v="2"/>
  </r>
  <r>
    <s v="INV-000068"/>
    <x v="67"/>
    <x v="2"/>
    <s v="GlobalTrade"/>
    <x v="5"/>
    <n v="4081.7"/>
    <n v="4"/>
    <n v="10"/>
    <n v="16326.8"/>
    <s v="Out of Stock"/>
    <x v="61"/>
    <x v="3"/>
  </r>
  <r>
    <s v="INV-000069"/>
    <x v="68"/>
    <x v="0"/>
    <s v="AlphaGoods"/>
    <x v="4"/>
    <n v="566.67999999999995"/>
    <n v="1"/>
    <n v="10"/>
    <n v="566.67999999999995"/>
    <s v="In Stock"/>
    <x v="62"/>
    <x v="0"/>
  </r>
  <r>
    <s v="INV-000070"/>
    <x v="69"/>
    <x v="9"/>
    <s v="QuickStock"/>
    <x v="4"/>
    <n v="4977.45"/>
    <n v="2"/>
    <n v="25"/>
    <n v="9954.9"/>
    <s v="Out of Stock"/>
    <x v="18"/>
    <x v="1"/>
  </r>
  <r>
    <s v="INV-000071"/>
    <x v="70"/>
    <x v="2"/>
    <s v="SupplyCo"/>
    <x v="0"/>
    <n v="3867.06"/>
    <n v="3"/>
    <n v="67"/>
    <n v="11601.18"/>
    <s v="Low Stock"/>
    <x v="47"/>
    <x v="2"/>
  </r>
  <r>
    <s v="INV-000072"/>
    <x v="71"/>
    <x v="3"/>
    <s v="FastSource"/>
    <x v="2"/>
    <n v="2904.25"/>
    <n v="4"/>
    <n v="55"/>
    <n v="11617"/>
    <s v="In Stock"/>
    <x v="49"/>
    <x v="3"/>
  </r>
  <r>
    <s v="INV-000073"/>
    <x v="72"/>
    <x v="7"/>
    <s v="MegaSupply"/>
    <x v="0"/>
    <n v="781.49"/>
    <n v="1"/>
    <n v="40"/>
    <n v="781.49"/>
    <s v="Low Stock"/>
    <x v="63"/>
    <x v="0"/>
  </r>
  <r>
    <s v="INV-000074"/>
    <x v="73"/>
    <x v="3"/>
    <s v="FastSource"/>
    <x v="4"/>
    <n v="2581.81"/>
    <n v="2"/>
    <n v="94"/>
    <n v="5163.62"/>
    <s v="Out of Stock"/>
    <x v="43"/>
    <x v="1"/>
  </r>
  <r>
    <s v="INV-000075"/>
    <x v="74"/>
    <x v="2"/>
    <s v="PrimeParts"/>
    <x v="4"/>
    <n v="1312.93"/>
    <n v="3"/>
    <n v="95"/>
    <n v="3938.79"/>
    <s v="Low Stock"/>
    <x v="64"/>
    <x v="2"/>
  </r>
  <r>
    <s v="INV-000076"/>
    <x v="75"/>
    <x v="4"/>
    <s v="QuickStock"/>
    <x v="4"/>
    <n v="1269.0899999999999"/>
    <n v="4"/>
    <n v="76"/>
    <n v="5076.3599999999997"/>
    <s v="In Stock"/>
    <x v="65"/>
    <x v="3"/>
  </r>
  <r>
    <s v="INV-000077"/>
    <x v="76"/>
    <x v="9"/>
    <s v="SupplyCo"/>
    <x v="4"/>
    <n v="4149.3500000000004"/>
    <n v="1"/>
    <n v="45"/>
    <n v="4149.3500000000004"/>
    <s v="Discontinued"/>
    <x v="66"/>
    <x v="0"/>
  </r>
  <r>
    <s v="INV-000078"/>
    <x v="77"/>
    <x v="9"/>
    <s v="FastSource"/>
    <x v="2"/>
    <n v="1909.42"/>
    <n v="2"/>
    <n v="88"/>
    <n v="3818.84"/>
    <s v="In Stock"/>
    <x v="67"/>
    <x v="1"/>
  </r>
  <r>
    <s v="INV-000079"/>
    <x v="78"/>
    <x v="8"/>
    <s v="GlobalTrade"/>
    <x v="5"/>
    <n v="2259.11"/>
    <n v="3"/>
    <n v="91"/>
    <n v="6777.33"/>
    <s v="Low Stock"/>
    <x v="68"/>
    <x v="2"/>
  </r>
  <r>
    <s v="INV-000080"/>
    <x v="79"/>
    <x v="9"/>
    <s v="GlobalTrade"/>
    <x v="3"/>
    <n v="4216.3900000000003"/>
    <n v="4"/>
    <n v="63"/>
    <n v="16865.560000000001"/>
    <s v="Out of Stock"/>
    <x v="7"/>
    <x v="3"/>
  </r>
  <r>
    <s v="INV-000081"/>
    <x v="80"/>
    <x v="0"/>
    <s v="GlobalTrade"/>
    <x v="3"/>
    <n v="448.08"/>
    <n v="1"/>
    <n v="71"/>
    <n v="448.08"/>
    <s v="Out of Stock"/>
    <x v="69"/>
    <x v="0"/>
  </r>
  <r>
    <s v="INV-000082"/>
    <x v="81"/>
    <x v="9"/>
    <s v="MegaSupply"/>
    <x v="1"/>
    <n v="2977.14"/>
    <n v="2"/>
    <n v="66"/>
    <n v="5954.28"/>
    <s v="In Stock"/>
    <x v="39"/>
    <x v="1"/>
  </r>
  <r>
    <s v="INV-000083"/>
    <x v="82"/>
    <x v="2"/>
    <s v="PrimeParts"/>
    <x v="0"/>
    <n v="2895.3"/>
    <n v="3"/>
    <n v="62"/>
    <n v="8685.9000000000015"/>
    <s v="In Stock"/>
    <x v="70"/>
    <x v="2"/>
  </r>
  <r>
    <s v="INV-000084"/>
    <x v="83"/>
    <x v="8"/>
    <s v="PrimeParts"/>
    <x v="3"/>
    <n v="2131.8200000000002"/>
    <n v="4"/>
    <n v="86"/>
    <n v="8527.2800000000007"/>
    <s v="In Stock"/>
    <x v="65"/>
    <x v="3"/>
  </r>
  <r>
    <s v="INV-000085"/>
    <x v="84"/>
    <x v="2"/>
    <s v="FastSource"/>
    <x v="4"/>
    <n v="4150.58"/>
    <n v="1"/>
    <n v="94"/>
    <n v="4150.58"/>
    <s v="In Stock"/>
    <x v="71"/>
    <x v="0"/>
  </r>
  <r>
    <s v="INV-000086"/>
    <x v="85"/>
    <x v="2"/>
    <s v="PrimeParts"/>
    <x v="4"/>
    <n v="4715.0200000000004"/>
    <n v="2"/>
    <n v="94"/>
    <n v="9430.0400000000009"/>
    <s v="In Stock"/>
    <x v="11"/>
    <x v="1"/>
  </r>
  <r>
    <s v="INV-000087"/>
    <x v="86"/>
    <x v="5"/>
    <s v="FastSource"/>
    <x v="5"/>
    <n v="2332.0300000000002"/>
    <n v="3"/>
    <n v="36"/>
    <n v="6996.09"/>
    <s v="In Stock"/>
    <x v="72"/>
    <x v="2"/>
  </r>
  <r>
    <s v="INV-000088"/>
    <x v="87"/>
    <x v="8"/>
    <s v="FastSource"/>
    <x v="0"/>
    <n v="2286.17"/>
    <n v="4"/>
    <n v="72"/>
    <n v="9144.68"/>
    <s v="Low Stock"/>
    <x v="73"/>
    <x v="3"/>
  </r>
  <r>
    <s v="INV-000089"/>
    <x v="88"/>
    <x v="2"/>
    <s v="GlobalTrade"/>
    <x v="3"/>
    <n v="2515.3000000000002"/>
    <n v="1"/>
    <n v="79"/>
    <n v="2515.3000000000002"/>
    <s v="In Stock"/>
    <x v="74"/>
    <x v="0"/>
  </r>
  <r>
    <s v="INV-000090"/>
    <x v="89"/>
    <x v="5"/>
    <s v="AlphaGoods"/>
    <x v="5"/>
    <n v="3618.39"/>
    <n v="2"/>
    <n v="73"/>
    <n v="7236.78"/>
    <s v="Discontinued"/>
    <x v="75"/>
    <x v="1"/>
  </r>
  <r>
    <s v="INV-000091"/>
    <x v="90"/>
    <x v="5"/>
    <s v="SupplyCo"/>
    <x v="5"/>
    <n v="3343.62"/>
    <n v="3"/>
    <n v="39"/>
    <n v="10030.86"/>
    <s v="In Stock"/>
    <x v="76"/>
    <x v="2"/>
  </r>
  <r>
    <s v="INV-000092"/>
    <x v="91"/>
    <x v="8"/>
    <s v="GlobalTrade"/>
    <x v="0"/>
    <n v="1121.95"/>
    <n v="4"/>
    <n v="41"/>
    <n v="4487.8"/>
    <s v="Low Stock"/>
    <x v="77"/>
    <x v="3"/>
  </r>
  <r>
    <s v="INV-000093"/>
    <x v="92"/>
    <x v="3"/>
    <s v="ZenithSupply"/>
    <x v="4"/>
    <n v="328.84"/>
    <n v="1"/>
    <n v="81"/>
    <n v="328.84"/>
    <s v="In Stock"/>
    <x v="37"/>
    <x v="0"/>
  </r>
  <r>
    <s v="INV-000094"/>
    <x v="93"/>
    <x v="4"/>
    <s v="AlphaGoods"/>
    <x v="2"/>
    <n v="4746.78"/>
    <n v="2"/>
    <n v="57"/>
    <n v="9493.56"/>
    <s v="Low Stock"/>
    <x v="78"/>
    <x v="1"/>
  </r>
  <r>
    <s v="INV-000095"/>
    <x v="94"/>
    <x v="0"/>
    <s v="ZenithSupply"/>
    <x v="4"/>
    <n v="1312.74"/>
    <n v="3"/>
    <n v="74"/>
    <n v="3938.2200000000003"/>
    <s v="Out of Stock"/>
    <x v="79"/>
    <x v="2"/>
  </r>
  <r>
    <s v="INV-000096"/>
    <x v="95"/>
    <x v="4"/>
    <s v="QuickStock"/>
    <x v="0"/>
    <n v="3196.6"/>
    <n v="4"/>
    <n v="29"/>
    <n v="12786.4"/>
    <s v="In Stock"/>
    <x v="80"/>
    <x v="3"/>
  </r>
  <r>
    <s v="INV-000097"/>
    <x v="96"/>
    <x v="9"/>
    <s v="ZenithSupply"/>
    <x v="5"/>
    <n v="4143.91"/>
    <n v="1"/>
    <n v="23"/>
    <n v="4143.91"/>
    <s v="Out of Stock"/>
    <x v="60"/>
    <x v="0"/>
  </r>
  <r>
    <s v="INV-000098"/>
    <x v="97"/>
    <x v="0"/>
    <s v="SupplyCo"/>
    <x v="2"/>
    <n v="1508.38"/>
    <n v="2"/>
    <n v="53"/>
    <n v="3016.76"/>
    <s v="Low Stock"/>
    <x v="64"/>
    <x v="1"/>
  </r>
  <r>
    <s v="INV-000099"/>
    <x v="98"/>
    <x v="9"/>
    <s v="FastSource"/>
    <x v="4"/>
    <n v="3180.81"/>
    <n v="3"/>
    <n v="78"/>
    <n v="9542.43"/>
    <s v="In Stock"/>
    <x v="81"/>
    <x v="2"/>
  </r>
  <r>
    <s v="INV-000100"/>
    <x v="99"/>
    <x v="2"/>
    <s v="PrimeParts"/>
    <x v="0"/>
    <n v="548.41999999999996"/>
    <n v="4"/>
    <n v="94"/>
    <n v="2193.6799999999998"/>
    <s v="Out of Stock"/>
    <x v="82"/>
    <x v="3"/>
  </r>
  <r>
    <s v="INV-000101"/>
    <x v="100"/>
    <x v="7"/>
    <s v="SupplyCo"/>
    <x v="4"/>
    <n v="4849.96"/>
    <n v="1"/>
    <n v="55"/>
    <n v="4849.96"/>
    <s v="In Stock"/>
    <x v="36"/>
    <x v="0"/>
  </r>
  <r>
    <s v="INV-000102"/>
    <x v="101"/>
    <x v="8"/>
    <s v="GlobalTrade"/>
    <x v="5"/>
    <n v="300.20999999999998"/>
    <n v="2"/>
    <n v="23"/>
    <n v="600.41999999999996"/>
    <s v="In Stock"/>
    <x v="83"/>
    <x v="1"/>
  </r>
  <r>
    <s v="INV-000103"/>
    <x v="102"/>
    <x v="0"/>
    <s v="SupplyCo"/>
    <x v="4"/>
    <n v="2196.4899999999998"/>
    <n v="3"/>
    <n v="93"/>
    <n v="6589.4699999999993"/>
    <s v="Low Stock"/>
    <x v="84"/>
    <x v="2"/>
  </r>
  <r>
    <s v="INV-000104"/>
    <x v="103"/>
    <x v="0"/>
    <s v="QuickStock"/>
    <x v="3"/>
    <n v="2688.73"/>
    <n v="4"/>
    <n v="78"/>
    <n v="10754.92"/>
    <s v="Low Stock"/>
    <x v="64"/>
    <x v="3"/>
  </r>
  <r>
    <s v="INV-000105"/>
    <x v="104"/>
    <x v="2"/>
    <s v="ZenithSupply"/>
    <x v="1"/>
    <n v="3954.5"/>
    <n v="1"/>
    <n v="71"/>
    <n v="3954.5"/>
    <s v="In Stock"/>
    <x v="85"/>
    <x v="0"/>
  </r>
  <r>
    <s v="INV-000106"/>
    <x v="105"/>
    <x v="3"/>
    <s v="SupplyCo"/>
    <x v="2"/>
    <n v="614.42999999999995"/>
    <n v="2"/>
    <n v="82"/>
    <n v="1228.8599999999999"/>
    <s v="In Stock"/>
    <x v="82"/>
    <x v="1"/>
  </r>
  <r>
    <s v="INV-000107"/>
    <x v="106"/>
    <x v="5"/>
    <s v="ZenithSupply"/>
    <x v="0"/>
    <n v="2209.63"/>
    <n v="3"/>
    <n v="92"/>
    <n v="6628.89"/>
    <s v="In Stock"/>
    <x v="86"/>
    <x v="2"/>
  </r>
  <r>
    <s v="INV-000108"/>
    <x v="107"/>
    <x v="2"/>
    <s v="FastSource"/>
    <x v="3"/>
    <n v="1505.56"/>
    <n v="4"/>
    <n v="42"/>
    <n v="6022.24"/>
    <s v="Out of Stock"/>
    <x v="87"/>
    <x v="3"/>
  </r>
  <r>
    <s v="INV-000109"/>
    <x v="108"/>
    <x v="6"/>
    <s v="ZenithSupply"/>
    <x v="0"/>
    <n v="1566.93"/>
    <n v="1"/>
    <n v="38"/>
    <n v="1566.93"/>
    <s v="In Stock"/>
    <x v="88"/>
    <x v="0"/>
  </r>
  <r>
    <s v="INV-000110"/>
    <x v="109"/>
    <x v="5"/>
    <s v="ZenithSupply"/>
    <x v="4"/>
    <n v="3896.15"/>
    <n v="2"/>
    <n v="43"/>
    <n v="7792.3"/>
    <s v="In Stock"/>
    <x v="14"/>
    <x v="1"/>
  </r>
  <r>
    <s v="INV-000111"/>
    <x v="110"/>
    <x v="8"/>
    <s v="PrimeParts"/>
    <x v="1"/>
    <n v="37.25"/>
    <n v="3"/>
    <n v="62"/>
    <n v="111.75"/>
    <s v="In Stock"/>
    <x v="89"/>
    <x v="2"/>
  </r>
  <r>
    <s v="INV-000112"/>
    <x v="111"/>
    <x v="5"/>
    <s v="QuickStock"/>
    <x v="5"/>
    <n v="3747.93"/>
    <n v="4"/>
    <n v="83"/>
    <n v="14991.72"/>
    <s v="In Stock"/>
    <x v="14"/>
    <x v="3"/>
  </r>
  <r>
    <s v="INV-000113"/>
    <x v="112"/>
    <x v="3"/>
    <s v="AlphaGoods"/>
    <x v="5"/>
    <n v="4053.89"/>
    <n v="1"/>
    <n v="94"/>
    <n v="4053.89"/>
    <s v="Out of Stock"/>
    <x v="90"/>
    <x v="0"/>
  </r>
  <r>
    <s v="INV-000114"/>
    <x v="113"/>
    <x v="5"/>
    <s v="FastSource"/>
    <x v="0"/>
    <n v="4507.8"/>
    <n v="2"/>
    <n v="68"/>
    <n v="9015.6"/>
    <s v="Out of Stock"/>
    <x v="91"/>
    <x v="1"/>
  </r>
  <r>
    <s v="INV-000115"/>
    <x v="114"/>
    <x v="8"/>
    <s v="GlobalTrade"/>
    <x v="4"/>
    <n v="3138.14"/>
    <n v="3"/>
    <n v="28"/>
    <n v="9414.42"/>
    <s v="Out of Stock"/>
    <x v="92"/>
    <x v="2"/>
  </r>
  <r>
    <s v="INV-000116"/>
    <x v="115"/>
    <x v="3"/>
    <s v="SupplyCo"/>
    <x v="5"/>
    <n v="1673.94"/>
    <n v="4"/>
    <n v="93"/>
    <n v="6695.76"/>
    <s v="In Stock"/>
    <x v="68"/>
    <x v="3"/>
  </r>
  <r>
    <s v="INV-000117"/>
    <x v="116"/>
    <x v="4"/>
    <s v="AlphaGoods"/>
    <x v="1"/>
    <n v="2141.9"/>
    <n v="1"/>
    <n v="75"/>
    <n v="2141.9"/>
    <s v="In Stock"/>
    <x v="93"/>
    <x v="0"/>
  </r>
  <r>
    <s v="INV-000118"/>
    <x v="117"/>
    <x v="0"/>
    <s v="PrimeParts"/>
    <x v="1"/>
    <n v="4848.9799999999996"/>
    <n v="2"/>
    <n v="45"/>
    <n v="9697.9599999999991"/>
    <s v="In Stock"/>
    <x v="94"/>
    <x v="1"/>
  </r>
  <r>
    <s v="INV-000119"/>
    <x v="118"/>
    <x v="0"/>
    <s v="FastSource"/>
    <x v="2"/>
    <n v="4407.12"/>
    <n v="3"/>
    <n v="30"/>
    <n v="13221.36"/>
    <s v="Discontinued"/>
    <x v="95"/>
    <x v="2"/>
  </r>
  <r>
    <s v="INV-000120"/>
    <x v="119"/>
    <x v="9"/>
    <s v="ZenithSupply"/>
    <x v="2"/>
    <n v="2322.9899999999998"/>
    <n v="4"/>
    <n v="26"/>
    <n v="9291.9599999999991"/>
    <s v="Out of Stock"/>
    <x v="4"/>
    <x v="3"/>
  </r>
  <r>
    <s v="INV-000121"/>
    <x v="120"/>
    <x v="4"/>
    <s v="ZenithSupply"/>
    <x v="3"/>
    <n v="4715.88"/>
    <n v="1"/>
    <n v="96"/>
    <n v="4715.88"/>
    <s v="Low Stock"/>
    <x v="96"/>
    <x v="0"/>
  </r>
  <r>
    <s v="INV-000122"/>
    <x v="121"/>
    <x v="4"/>
    <s v="PrimeParts"/>
    <x v="5"/>
    <n v="4116.54"/>
    <n v="2"/>
    <n v="72"/>
    <n v="8233.08"/>
    <s v="In Stock"/>
    <x v="24"/>
    <x v="1"/>
  </r>
  <r>
    <s v="INV-000123"/>
    <x v="122"/>
    <x v="5"/>
    <s v="SupplyCo"/>
    <x v="4"/>
    <n v="4506.4399999999996"/>
    <n v="3"/>
    <n v="74"/>
    <n v="13519.32"/>
    <s v="In Stock"/>
    <x v="97"/>
    <x v="2"/>
  </r>
  <r>
    <s v="INV-000124"/>
    <x v="123"/>
    <x v="0"/>
    <s v="ZenithSupply"/>
    <x v="1"/>
    <n v="3418.06"/>
    <n v="4"/>
    <n v="39"/>
    <n v="13672.24"/>
    <s v="In Stock"/>
    <x v="59"/>
    <x v="3"/>
  </r>
  <r>
    <s v="INV-000125"/>
    <x v="124"/>
    <x v="8"/>
    <s v="QuickStock"/>
    <x v="5"/>
    <n v="4289.6899999999996"/>
    <n v="1"/>
    <n v="93"/>
    <n v="4289.6899999999996"/>
    <s v="In Stock"/>
    <x v="98"/>
    <x v="0"/>
  </r>
  <r>
    <s v="INV-000126"/>
    <x v="125"/>
    <x v="1"/>
    <s v="SupplyCo"/>
    <x v="3"/>
    <n v="4459.91"/>
    <n v="2"/>
    <n v="83"/>
    <n v="8919.82"/>
    <s v="In Stock"/>
    <x v="99"/>
    <x v="1"/>
  </r>
  <r>
    <s v="INV-000127"/>
    <x v="126"/>
    <x v="1"/>
    <s v="AlphaGoods"/>
    <x v="2"/>
    <n v="469.16"/>
    <n v="3"/>
    <n v="45"/>
    <n v="1407.48"/>
    <s v="Out of Stock"/>
    <x v="63"/>
    <x v="2"/>
  </r>
  <r>
    <s v="INV-000128"/>
    <x v="127"/>
    <x v="3"/>
    <s v="PrimeParts"/>
    <x v="2"/>
    <n v="4826.43"/>
    <n v="4"/>
    <n v="10"/>
    <n v="19305.72"/>
    <s v="In Stock"/>
    <x v="100"/>
    <x v="3"/>
  </r>
  <r>
    <s v="INV-000129"/>
    <x v="128"/>
    <x v="0"/>
    <s v="PrimeParts"/>
    <x v="3"/>
    <n v="1674.73"/>
    <n v="1"/>
    <n v="89"/>
    <n v="1674.73"/>
    <s v="Out of Stock"/>
    <x v="71"/>
    <x v="0"/>
  </r>
  <r>
    <s v="INV-000130"/>
    <x v="129"/>
    <x v="0"/>
    <s v="PrimeParts"/>
    <x v="5"/>
    <n v="2205.1"/>
    <n v="2"/>
    <n v="66"/>
    <n v="4410.2"/>
    <s v="In Stock"/>
    <x v="101"/>
    <x v="1"/>
  </r>
  <r>
    <s v="INV-000131"/>
    <x v="130"/>
    <x v="1"/>
    <s v="AlphaGoods"/>
    <x v="0"/>
    <n v="3961.6"/>
    <n v="3"/>
    <n v="68"/>
    <n v="11884.8"/>
    <s v="In Stock"/>
    <x v="102"/>
    <x v="2"/>
  </r>
  <r>
    <s v="INV-000132"/>
    <x v="131"/>
    <x v="0"/>
    <s v="MegaSupply"/>
    <x v="5"/>
    <n v="3327.83"/>
    <n v="4"/>
    <n v="56"/>
    <n v="13311.32"/>
    <s v="Low Stock"/>
    <x v="103"/>
    <x v="3"/>
  </r>
  <r>
    <s v="INV-000133"/>
    <x v="132"/>
    <x v="5"/>
    <s v="FastSource"/>
    <x v="1"/>
    <n v="4466.37"/>
    <n v="1"/>
    <n v="13"/>
    <n v="4466.37"/>
    <s v="Out of Stock"/>
    <x v="104"/>
    <x v="0"/>
  </r>
  <r>
    <s v="INV-000134"/>
    <x v="133"/>
    <x v="6"/>
    <s v="ZenithSupply"/>
    <x v="5"/>
    <n v="2008.86"/>
    <n v="2"/>
    <n v="10"/>
    <n v="4017.72"/>
    <s v="Low Stock"/>
    <x v="105"/>
    <x v="1"/>
  </r>
  <r>
    <s v="INV-000135"/>
    <x v="134"/>
    <x v="7"/>
    <s v="PrimeParts"/>
    <x v="5"/>
    <n v="1872.71"/>
    <n v="3"/>
    <n v="90"/>
    <n v="5618.13"/>
    <s v="Out of Stock"/>
    <x v="106"/>
    <x v="2"/>
  </r>
  <r>
    <s v="INV-000136"/>
    <x v="135"/>
    <x v="4"/>
    <s v="PrimeParts"/>
    <x v="1"/>
    <n v="168.13"/>
    <n v="4"/>
    <n v="92"/>
    <n v="672.52"/>
    <s v="In Stock"/>
    <x v="107"/>
    <x v="3"/>
  </r>
  <r>
    <s v="INV-000137"/>
    <x v="136"/>
    <x v="9"/>
    <s v="ZenithSupply"/>
    <x v="3"/>
    <n v="2319"/>
    <n v="1"/>
    <n v="30"/>
    <n v="2319"/>
    <s v="Low Stock"/>
    <x v="52"/>
    <x v="0"/>
  </r>
  <r>
    <s v="INV-000138"/>
    <x v="137"/>
    <x v="3"/>
    <s v="MegaSupply"/>
    <x v="4"/>
    <n v="3623.11"/>
    <n v="2"/>
    <n v="87"/>
    <n v="7246.22"/>
    <s v="In Stock"/>
    <x v="99"/>
    <x v="1"/>
  </r>
  <r>
    <s v="INV-000139"/>
    <x v="138"/>
    <x v="6"/>
    <s v="PrimeParts"/>
    <x v="1"/>
    <n v="1512.88"/>
    <n v="3"/>
    <n v="82"/>
    <n v="4538.6400000000003"/>
    <s v="Out of Stock"/>
    <x v="108"/>
    <x v="2"/>
  </r>
  <r>
    <s v="INV-000140"/>
    <x v="139"/>
    <x v="1"/>
    <s v="ZenithSupply"/>
    <x v="3"/>
    <n v="2319.0100000000002"/>
    <n v="4"/>
    <n v="88"/>
    <n v="9276.0400000000009"/>
    <s v="Out of Stock"/>
    <x v="4"/>
    <x v="3"/>
  </r>
  <r>
    <s v="INV-000141"/>
    <x v="140"/>
    <x v="4"/>
    <s v="SupplyCo"/>
    <x v="5"/>
    <n v="1104.79"/>
    <n v="1"/>
    <n v="22"/>
    <n v="1104.79"/>
    <s v="In Stock"/>
    <x v="33"/>
    <x v="0"/>
  </r>
  <r>
    <s v="INV-000142"/>
    <x v="141"/>
    <x v="0"/>
    <s v="MegaSupply"/>
    <x v="4"/>
    <n v="3866.21"/>
    <n v="2"/>
    <n v="18"/>
    <n v="7732.42"/>
    <s v="In Stock"/>
    <x v="109"/>
    <x v="1"/>
  </r>
  <r>
    <s v="INV-000143"/>
    <x v="142"/>
    <x v="9"/>
    <s v="PrimeParts"/>
    <x v="2"/>
    <n v="311.95"/>
    <n v="3"/>
    <n v="91"/>
    <n v="935.84999999999991"/>
    <s v="In Stock"/>
    <x v="68"/>
    <x v="2"/>
  </r>
  <r>
    <s v="INV-000144"/>
    <x v="143"/>
    <x v="0"/>
    <s v="QuickStock"/>
    <x v="3"/>
    <n v="3529.86"/>
    <n v="4"/>
    <n v="71"/>
    <n v="14119.44"/>
    <s v="In Stock"/>
    <x v="110"/>
    <x v="3"/>
  </r>
  <r>
    <s v="INV-000145"/>
    <x v="144"/>
    <x v="8"/>
    <s v="FastSource"/>
    <x v="4"/>
    <n v="1900.91"/>
    <n v="1"/>
    <n v="84"/>
    <n v="1900.91"/>
    <s v="Low Stock"/>
    <x v="111"/>
    <x v="0"/>
  </r>
  <r>
    <s v="INV-000146"/>
    <x v="145"/>
    <x v="8"/>
    <s v="SupplyCo"/>
    <x v="5"/>
    <n v="217.56"/>
    <n v="2"/>
    <n v="46"/>
    <n v="435.12"/>
    <s v="In Stock"/>
    <x v="112"/>
    <x v="1"/>
  </r>
  <r>
    <s v="INV-000147"/>
    <x v="146"/>
    <x v="9"/>
    <s v="MegaSupply"/>
    <x v="5"/>
    <n v="4268.8100000000004"/>
    <n v="3"/>
    <n v="28"/>
    <n v="12806.43"/>
    <s v="In Stock"/>
    <x v="113"/>
    <x v="2"/>
  </r>
  <r>
    <s v="INV-000148"/>
    <x v="147"/>
    <x v="9"/>
    <s v="FastSource"/>
    <x v="5"/>
    <n v="2443.73"/>
    <n v="4"/>
    <n v="79"/>
    <n v="9774.92"/>
    <s v="Out of Stock"/>
    <x v="114"/>
    <x v="3"/>
  </r>
  <r>
    <s v="INV-000149"/>
    <x v="148"/>
    <x v="1"/>
    <s v="FastSource"/>
    <x v="2"/>
    <n v="3000.6"/>
    <n v="1"/>
    <n v="25"/>
    <n v="3000.6"/>
    <s v="In Stock"/>
    <x v="115"/>
    <x v="0"/>
  </r>
  <r>
    <s v="INV-000150"/>
    <x v="149"/>
    <x v="9"/>
    <s v="SupplyCo"/>
    <x v="1"/>
    <n v="3662.83"/>
    <n v="2"/>
    <n v="51"/>
    <n v="7325.66"/>
    <s v="Out of Stock"/>
    <x v="102"/>
    <x v="1"/>
  </r>
  <r>
    <s v="INV-000151"/>
    <x v="150"/>
    <x v="5"/>
    <s v="PrimeParts"/>
    <x v="2"/>
    <n v="3278.82"/>
    <n v="3"/>
    <n v="44"/>
    <n v="9836.4600000000009"/>
    <s v="Low Stock"/>
    <x v="116"/>
    <x v="2"/>
  </r>
  <r>
    <s v="INV-000152"/>
    <x v="151"/>
    <x v="0"/>
    <s v="ZenithSupply"/>
    <x v="5"/>
    <n v="3656.98"/>
    <n v="4"/>
    <n v="75"/>
    <n v="14627.92"/>
    <s v="In Stock"/>
    <x v="117"/>
    <x v="3"/>
  </r>
  <r>
    <s v="INV-000153"/>
    <x v="152"/>
    <x v="6"/>
    <s v="PrimeParts"/>
    <x v="1"/>
    <n v="3813.79"/>
    <n v="1"/>
    <n v="42"/>
    <n v="3813.79"/>
    <s v="In Stock"/>
    <x v="118"/>
    <x v="0"/>
  </r>
  <r>
    <s v="INV-000154"/>
    <x v="153"/>
    <x v="2"/>
    <s v="SupplyCo"/>
    <x v="0"/>
    <n v="2949.87"/>
    <n v="2"/>
    <n v="57"/>
    <n v="5899.74"/>
    <s v="In Stock"/>
    <x v="119"/>
    <x v="1"/>
  </r>
  <r>
    <s v="INV-000155"/>
    <x v="154"/>
    <x v="9"/>
    <s v="AlphaGoods"/>
    <x v="1"/>
    <n v="1834.53"/>
    <n v="3"/>
    <n v="57"/>
    <n v="5503.59"/>
    <s v="In Stock"/>
    <x v="120"/>
    <x v="2"/>
  </r>
  <r>
    <s v="INV-000156"/>
    <x v="155"/>
    <x v="3"/>
    <s v="FastSource"/>
    <x v="4"/>
    <n v="1223.28"/>
    <n v="4"/>
    <n v="39"/>
    <n v="4893.12"/>
    <s v="Low Stock"/>
    <x v="121"/>
    <x v="3"/>
  </r>
  <r>
    <s v="INV-000157"/>
    <x v="156"/>
    <x v="8"/>
    <s v="ZenithSupply"/>
    <x v="0"/>
    <n v="4515.49"/>
    <n v="1"/>
    <n v="64"/>
    <n v="4515.49"/>
    <s v="In Stock"/>
    <x v="122"/>
    <x v="0"/>
  </r>
  <r>
    <s v="INV-000158"/>
    <x v="157"/>
    <x v="5"/>
    <s v="ZenithSupply"/>
    <x v="2"/>
    <n v="4849.92"/>
    <n v="2"/>
    <n v="95"/>
    <n v="9699.84"/>
    <s v="Discontinued"/>
    <x v="123"/>
    <x v="1"/>
  </r>
  <r>
    <s v="INV-000159"/>
    <x v="158"/>
    <x v="4"/>
    <s v="FastSource"/>
    <x v="0"/>
    <n v="1794.74"/>
    <n v="3"/>
    <n v="45"/>
    <n v="5384.22"/>
    <s v="Low Stock"/>
    <x v="124"/>
    <x v="2"/>
  </r>
  <r>
    <s v="INV-000160"/>
    <x v="159"/>
    <x v="2"/>
    <s v="GlobalTrade"/>
    <x v="5"/>
    <n v="570.42999999999995"/>
    <n v="4"/>
    <n v="86"/>
    <n v="2281.7199999999998"/>
    <s v="In Stock"/>
    <x v="125"/>
    <x v="3"/>
  </r>
  <r>
    <s v="INV-000161"/>
    <x v="160"/>
    <x v="6"/>
    <s v="QuickStock"/>
    <x v="2"/>
    <n v="1120.46"/>
    <n v="1"/>
    <n v="79"/>
    <n v="1120.46"/>
    <s v="Out of Stock"/>
    <x v="126"/>
    <x v="0"/>
  </r>
  <r>
    <s v="INV-000162"/>
    <x v="161"/>
    <x v="2"/>
    <s v="FastSource"/>
    <x v="2"/>
    <n v="3356.63"/>
    <n v="2"/>
    <n v="89"/>
    <n v="6713.26"/>
    <s v="Low Stock"/>
    <x v="127"/>
    <x v="1"/>
  </r>
  <r>
    <s v="INV-000163"/>
    <x v="162"/>
    <x v="9"/>
    <s v="PrimeParts"/>
    <x v="4"/>
    <n v="872.94"/>
    <n v="3"/>
    <n v="41"/>
    <n v="2618.8200000000002"/>
    <s v="In Stock"/>
    <x v="128"/>
    <x v="2"/>
  </r>
  <r>
    <s v="INV-000164"/>
    <x v="163"/>
    <x v="1"/>
    <s v="GlobalTrade"/>
    <x v="3"/>
    <n v="3902.81"/>
    <n v="4"/>
    <n v="34"/>
    <n v="15611.24"/>
    <s v="Out of Stock"/>
    <x v="129"/>
    <x v="3"/>
  </r>
  <r>
    <s v="INV-000165"/>
    <x v="164"/>
    <x v="8"/>
    <s v="SupplyCo"/>
    <x v="0"/>
    <n v="4615.92"/>
    <n v="1"/>
    <n v="80"/>
    <n v="4615.92"/>
    <s v="In Stock"/>
    <x v="130"/>
    <x v="0"/>
  </r>
  <r>
    <s v="INV-000166"/>
    <x v="165"/>
    <x v="8"/>
    <s v="GlobalTrade"/>
    <x v="4"/>
    <n v="4818.62"/>
    <n v="2"/>
    <n v="28"/>
    <n v="9637.24"/>
    <s v="In Stock"/>
    <x v="117"/>
    <x v="1"/>
  </r>
  <r>
    <s v="INV-000167"/>
    <x v="166"/>
    <x v="4"/>
    <s v="QuickStock"/>
    <x v="2"/>
    <n v="56.53"/>
    <n v="3"/>
    <n v="61"/>
    <n v="169.59"/>
    <s v="In Stock"/>
    <x v="131"/>
    <x v="2"/>
  </r>
  <r>
    <s v="INV-000168"/>
    <x v="167"/>
    <x v="1"/>
    <s v="ZenithSupply"/>
    <x v="3"/>
    <n v="4791.1899999999996"/>
    <n v="4"/>
    <n v="55"/>
    <n v="19164.759999999998"/>
    <s v="Low Stock"/>
    <x v="132"/>
    <x v="3"/>
  </r>
  <r>
    <s v="INV-000169"/>
    <x v="168"/>
    <x v="0"/>
    <s v="SupplyCo"/>
    <x v="3"/>
    <n v="3703.57"/>
    <n v="1"/>
    <n v="63"/>
    <n v="3703.57"/>
    <s v="In Stock"/>
    <x v="133"/>
    <x v="0"/>
  </r>
  <r>
    <s v="INV-000170"/>
    <x v="169"/>
    <x v="7"/>
    <s v="QuickStock"/>
    <x v="3"/>
    <n v="429.41"/>
    <n v="2"/>
    <n v="27"/>
    <n v="858.82"/>
    <s v="Out of Stock"/>
    <x v="134"/>
    <x v="1"/>
  </r>
  <r>
    <s v="INV-000171"/>
    <x v="170"/>
    <x v="5"/>
    <s v="AlphaGoods"/>
    <x v="2"/>
    <n v="2082.0500000000002"/>
    <n v="3"/>
    <n v="97"/>
    <n v="6246.1500000000005"/>
    <s v="In Stock"/>
    <x v="135"/>
    <x v="2"/>
  </r>
  <r>
    <s v="INV-000172"/>
    <x v="171"/>
    <x v="8"/>
    <s v="SupplyCo"/>
    <x v="1"/>
    <n v="3503.23"/>
    <n v="4"/>
    <n v="71"/>
    <n v="14012.92"/>
    <s v="In Stock"/>
    <x v="136"/>
    <x v="3"/>
  </r>
  <r>
    <s v="INV-000173"/>
    <x v="172"/>
    <x v="3"/>
    <s v="QuickStock"/>
    <x v="5"/>
    <n v="4783.8599999999997"/>
    <n v="1"/>
    <n v="76"/>
    <n v="4783.8599999999997"/>
    <s v="Low Stock"/>
    <x v="137"/>
    <x v="0"/>
  </r>
  <r>
    <s v="INV-000174"/>
    <x v="173"/>
    <x v="8"/>
    <s v="QuickStock"/>
    <x v="0"/>
    <n v="829.07"/>
    <n v="2"/>
    <n v="78"/>
    <n v="1658.14"/>
    <s v="In Stock"/>
    <x v="138"/>
    <x v="1"/>
  </r>
  <r>
    <s v="INV-000175"/>
    <x v="174"/>
    <x v="2"/>
    <s v="GlobalTrade"/>
    <x v="0"/>
    <n v="647.39"/>
    <n v="3"/>
    <n v="98"/>
    <n v="1942.17"/>
    <s v="In Stock"/>
    <x v="139"/>
    <x v="2"/>
  </r>
  <r>
    <s v="INV-000176"/>
    <x v="175"/>
    <x v="8"/>
    <s v="ZenithSupply"/>
    <x v="0"/>
    <n v="2367.0100000000002"/>
    <n v="4"/>
    <n v="83"/>
    <n v="9468.0400000000009"/>
    <s v="In Stock"/>
    <x v="140"/>
    <x v="3"/>
  </r>
  <r>
    <s v="INV-000177"/>
    <x v="176"/>
    <x v="8"/>
    <s v="ZenithSupply"/>
    <x v="5"/>
    <n v="4840.8100000000004"/>
    <n v="1"/>
    <n v="80"/>
    <n v="4840.8100000000004"/>
    <s v="Discontinued"/>
    <x v="141"/>
    <x v="0"/>
  </r>
  <r>
    <s v="INV-000178"/>
    <x v="177"/>
    <x v="7"/>
    <s v="SupplyCo"/>
    <x v="3"/>
    <n v="4857.18"/>
    <n v="2"/>
    <n v="56"/>
    <n v="9714.36"/>
    <s v="In Stock"/>
    <x v="142"/>
    <x v="1"/>
  </r>
  <r>
    <s v="INV-000179"/>
    <x v="178"/>
    <x v="7"/>
    <s v="FastSource"/>
    <x v="4"/>
    <n v="1147.29"/>
    <n v="3"/>
    <n v="33"/>
    <n v="3441.87"/>
    <s v="In Stock"/>
    <x v="143"/>
    <x v="2"/>
  </r>
  <r>
    <s v="INV-000180"/>
    <x v="179"/>
    <x v="6"/>
    <s v="ZenithSupply"/>
    <x v="5"/>
    <n v="1603.54"/>
    <n v="4"/>
    <n v="32"/>
    <n v="6414.16"/>
    <s v="In Stock"/>
    <x v="144"/>
    <x v="3"/>
  </r>
  <r>
    <s v="INV-000181"/>
    <x v="180"/>
    <x v="0"/>
    <s v="SupplyCo"/>
    <x v="5"/>
    <n v="4541.08"/>
    <n v="1"/>
    <n v="33"/>
    <n v="4541.08"/>
    <s v="In Stock"/>
    <x v="145"/>
    <x v="0"/>
  </r>
  <r>
    <s v="INV-000182"/>
    <x v="181"/>
    <x v="3"/>
    <s v="PrimeParts"/>
    <x v="1"/>
    <n v="3676.86"/>
    <n v="2"/>
    <n v="40"/>
    <n v="7353.72"/>
    <s v="Low Stock"/>
    <x v="146"/>
    <x v="1"/>
  </r>
  <r>
    <s v="INV-000183"/>
    <x v="182"/>
    <x v="8"/>
    <s v="MegaSupply"/>
    <x v="3"/>
    <n v="4861.8599999999997"/>
    <n v="3"/>
    <n v="65"/>
    <n v="14585.579999999998"/>
    <s v="Out of Stock"/>
    <x v="120"/>
    <x v="2"/>
  </r>
  <r>
    <s v="INV-000184"/>
    <x v="183"/>
    <x v="8"/>
    <s v="PrimeParts"/>
    <x v="3"/>
    <n v="4466.8100000000004"/>
    <n v="4"/>
    <n v="27"/>
    <n v="17867.240000000002"/>
    <s v="In Stock"/>
    <x v="147"/>
    <x v="3"/>
  </r>
  <r>
    <s v="INV-000185"/>
    <x v="184"/>
    <x v="5"/>
    <s v="QuickStock"/>
    <x v="0"/>
    <n v="1083.33"/>
    <n v="1"/>
    <n v="23"/>
    <n v="1083.33"/>
    <s v="In Stock"/>
    <x v="148"/>
    <x v="0"/>
  </r>
  <r>
    <s v="INV-000186"/>
    <x v="185"/>
    <x v="7"/>
    <s v="QuickStock"/>
    <x v="5"/>
    <n v="3801.04"/>
    <n v="2"/>
    <n v="27"/>
    <n v="7602.08"/>
    <s v="Low Stock"/>
    <x v="149"/>
    <x v="1"/>
  </r>
  <r>
    <s v="INV-000187"/>
    <x v="186"/>
    <x v="3"/>
    <s v="PrimeParts"/>
    <x v="3"/>
    <n v="252.34"/>
    <n v="3"/>
    <n v="82"/>
    <n v="757.02"/>
    <s v="In Stock"/>
    <x v="150"/>
    <x v="2"/>
  </r>
  <r>
    <s v="INV-000188"/>
    <x v="187"/>
    <x v="4"/>
    <s v="QuickStock"/>
    <x v="5"/>
    <n v="4090.99"/>
    <n v="4"/>
    <n v="45"/>
    <n v="16363.96"/>
    <s v="In Stock"/>
    <x v="151"/>
    <x v="3"/>
  </r>
  <r>
    <s v="INV-000189"/>
    <x v="188"/>
    <x v="6"/>
    <s v="ZenithSupply"/>
    <x v="3"/>
    <n v="3011.77"/>
    <n v="1"/>
    <n v="31"/>
    <n v="3011.77"/>
    <s v="In Stock"/>
    <x v="152"/>
    <x v="0"/>
  </r>
  <r>
    <s v="INV-000190"/>
    <x v="189"/>
    <x v="0"/>
    <s v="SupplyCo"/>
    <x v="3"/>
    <n v="4780.9399999999996"/>
    <n v="2"/>
    <n v="88"/>
    <n v="9561.8799999999992"/>
    <s v="In Stock"/>
    <x v="153"/>
    <x v="1"/>
  </r>
  <r>
    <s v="INV-000191"/>
    <x v="190"/>
    <x v="1"/>
    <s v="MegaSupply"/>
    <x v="4"/>
    <n v="4800.5600000000004"/>
    <n v="3"/>
    <n v="96"/>
    <n v="14401.68"/>
    <s v="In Stock"/>
    <x v="150"/>
    <x v="2"/>
  </r>
  <r>
    <s v="INV-000192"/>
    <x v="191"/>
    <x v="0"/>
    <s v="MegaSupply"/>
    <x v="0"/>
    <n v="263.57"/>
    <n v="4"/>
    <n v="88"/>
    <n v="1054.28"/>
    <s v="In Stock"/>
    <x v="147"/>
    <x v="3"/>
  </r>
  <r>
    <s v="INV-000193"/>
    <x v="192"/>
    <x v="2"/>
    <s v="PrimeParts"/>
    <x v="0"/>
    <n v="811"/>
    <n v="1"/>
    <n v="65"/>
    <n v="811"/>
    <s v="Out of Stock"/>
    <x v="154"/>
    <x v="0"/>
  </r>
  <r>
    <s v="INV-000194"/>
    <x v="193"/>
    <x v="8"/>
    <s v="GlobalTrade"/>
    <x v="3"/>
    <n v="2426.19"/>
    <n v="2"/>
    <n v="67"/>
    <n v="4852.38"/>
    <s v="In Stock"/>
    <x v="155"/>
    <x v="1"/>
  </r>
  <r>
    <s v="INV-000195"/>
    <x v="194"/>
    <x v="6"/>
    <s v="MegaSupply"/>
    <x v="0"/>
    <n v="4398.67"/>
    <n v="3"/>
    <n v="33"/>
    <n v="13196.01"/>
    <s v="Out of Stock"/>
    <x v="156"/>
    <x v="2"/>
  </r>
  <r>
    <s v="INV-000196"/>
    <x v="195"/>
    <x v="2"/>
    <s v="ZenithSupply"/>
    <x v="3"/>
    <n v="4074.08"/>
    <n v="4"/>
    <n v="87"/>
    <n v="16296.32"/>
    <s v="Out of Stock"/>
    <x v="157"/>
    <x v="3"/>
  </r>
  <r>
    <s v="INV-000197"/>
    <x v="196"/>
    <x v="3"/>
    <s v="FastSource"/>
    <x v="4"/>
    <n v="4822.21"/>
    <n v="1"/>
    <n v="24"/>
    <n v="4822.21"/>
    <s v="In Stock"/>
    <x v="140"/>
    <x v="0"/>
  </r>
  <r>
    <s v="INV-000198"/>
    <x v="197"/>
    <x v="1"/>
    <s v="AlphaGoods"/>
    <x v="5"/>
    <n v="3094.24"/>
    <n v="2"/>
    <n v="58"/>
    <n v="6188.48"/>
    <s v="In Stock"/>
    <x v="158"/>
    <x v="1"/>
  </r>
  <r>
    <s v="INV-000199"/>
    <x v="198"/>
    <x v="7"/>
    <s v="QuickStock"/>
    <x v="0"/>
    <n v="1290.25"/>
    <n v="3"/>
    <n v="75"/>
    <n v="3870.75"/>
    <s v="In Stock"/>
    <x v="159"/>
    <x v="2"/>
  </r>
  <r>
    <s v="INV-000200"/>
    <x v="199"/>
    <x v="6"/>
    <s v="ZenithSupply"/>
    <x v="3"/>
    <n v="135.28"/>
    <n v="4"/>
    <n v="27"/>
    <n v="541.12"/>
    <s v="Out of Stock"/>
    <x v="160"/>
    <x v="3"/>
  </r>
  <r>
    <s v="INV-000201"/>
    <x v="200"/>
    <x v="6"/>
    <s v="PrimeParts"/>
    <x v="5"/>
    <n v="1122.4000000000001"/>
    <n v="1"/>
    <n v="91"/>
    <n v="1122.4000000000001"/>
    <s v="In Stock"/>
    <x v="161"/>
    <x v="0"/>
  </r>
  <r>
    <s v="INV-000202"/>
    <x v="201"/>
    <x v="8"/>
    <s v="ZenithSupply"/>
    <x v="3"/>
    <n v="3379.61"/>
    <n v="2"/>
    <n v="31"/>
    <n v="6759.22"/>
    <s v="In Stock"/>
    <x v="151"/>
    <x v="1"/>
  </r>
  <r>
    <s v="INV-000203"/>
    <x v="202"/>
    <x v="9"/>
    <s v="ZenithSupply"/>
    <x v="0"/>
    <n v="4632.1099999999997"/>
    <n v="3"/>
    <n v="22"/>
    <n v="13896.329999999998"/>
    <s v="Low Stock"/>
    <x v="137"/>
    <x v="2"/>
  </r>
  <r>
    <s v="INV-000204"/>
    <x v="203"/>
    <x v="6"/>
    <s v="QuickStock"/>
    <x v="5"/>
    <n v="1611.31"/>
    <n v="4"/>
    <n v="80"/>
    <n v="6445.24"/>
    <s v="In Stock"/>
    <x v="117"/>
    <x v="3"/>
  </r>
  <r>
    <s v="INV-000205"/>
    <x v="204"/>
    <x v="5"/>
    <s v="GlobalTrade"/>
    <x v="3"/>
    <n v="4379.76"/>
    <n v="1"/>
    <n v="10"/>
    <n v="4379.76"/>
    <s v="In Stock"/>
    <x v="162"/>
    <x v="0"/>
  </r>
  <r>
    <s v="INV-000206"/>
    <x v="205"/>
    <x v="1"/>
    <s v="SupplyCo"/>
    <x v="4"/>
    <n v="1980.54"/>
    <n v="2"/>
    <n v="11"/>
    <n v="3961.08"/>
    <s v="In Stock"/>
    <x v="163"/>
    <x v="1"/>
  </r>
  <r>
    <s v="INV-000207"/>
    <x v="206"/>
    <x v="1"/>
    <s v="MegaSupply"/>
    <x v="0"/>
    <n v="1548.27"/>
    <n v="3"/>
    <n v="96"/>
    <n v="4644.8099999999995"/>
    <s v="In Stock"/>
    <x v="164"/>
    <x v="2"/>
  </r>
  <r>
    <s v="INV-000208"/>
    <x v="207"/>
    <x v="5"/>
    <s v="PrimeParts"/>
    <x v="4"/>
    <n v="2549.13"/>
    <n v="4"/>
    <n v="60"/>
    <n v="10196.52"/>
    <s v="In Stock"/>
    <x v="165"/>
    <x v="3"/>
  </r>
  <r>
    <s v="INV-000209"/>
    <x v="208"/>
    <x v="4"/>
    <s v="AlphaGoods"/>
    <x v="1"/>
    <n v="2216.94"/>
    <n v="1"/>
    <n v="37"/>
    <n v="2216.94"/>
    <s v="In Stock"/>
    <x v="166"/>
    <x v="0"/>
  </r>
  <r>
    <s v="INV-000210"/>
    <x v="209"/>
    <x v="5"/>
    <s v="FastSource"/>
    <x v="0"/>
    <n v="4569.8599999999997"/>
    <n v="2"/>
    <n v="28"/>
    <n v="9139.7199999999993"/>
    <s v="In Stock"/>
    <x v="167"/>
    <x v="1"/>
  </r>
  <r>
    <s v="INV-000211"/>
    <x v="210"/>
    <x v="5"/>
    <s v="ZenithSupply"/>
    <x v="2"/>
    <n v="2346.6"/>
    <n v="3"/>
    <n v="84"/>
    <n v="7039.7999999999993"/>
    <s v="Low Stock"/>
    <x v="168"/>
    <x v="2"/>
  </r>
  <r>
    <s v="INV-000212"/>
    <x v="211"/>
    <x v="1"/>
    <s v="FastSource"/>
    <x v="4"/>
    <n v="1393.9"/>
    <n v="4"/>
    <n v="31"/>
    <n v="5575.6"/>
    <s v="Low Stock"/>
    <x v="169"/>
    <x v="3"/>
  </r>
  <r>
    <s v="INV-000213"/>
    <x v="212"/>
    <x v="0"/>
    <s v="AlphaGoods"/>
    <x v="5"/>
    <n v="4214.3999999999996"/>
    <n v="1"/>
    <n v="56"/>
    <n v="4214.3999999999996"/>
    <s v="In Stock"/>
    <x v="170"/>
    <x v="0"/>
  </r>
  <r>
    <s v="INV-000214"/>
    <x v="213"/>
    <x v="1"/>
    <s v="ZenithSupply"/>
    <x v="5"/>
    <n v="4993.76"/>
    <n v="2"/>
    <n v="55"/>
    <n v="9987.52"/>
    <s v="Low Stock"/>
    <x v="168"/>
    <x v="1"/>
  </r>
  <r>
    <s v="INV-000215"/>
    <x v="214"/>
    <x v="9"/>
    <s v="PrimeParts"/>
    <x v="3"/>
    <n v="3244.38"/>
    <n v="3"/>
    <n v="13"/>
    <n v="9733.14"/>
    <s v="Discontinued"/>
    <x v="171"/>
    <x v="2"/>
  </r>
  <r>
    <s v="INV-000216"/>
    <x v="215"/>
    <x v="8"/>
    <s v="ZenithSupply"/>
    <x v="5"/>
    <n v="1259.8"/>
    <n v="4"/>
    <n v="54"/>
    <n v="5039.2"/>
    <s v="In Stock"/>
    <x v="172"/>
    <x v="3"/>
  </r>
  <r>
    <s v="INV-000217"/>
    <x v="216"/>
    <x v="2"/>
    <s v="ZenithSupply"/>
    <x v="3"/>
    <n v="1201.69"/>
    <n v="1"/>
    <n v="24"/>
    <n v="1201.69"/>
    <s v="In Stock"/>
    <x v="173"/>
    <x v="0"/>
  </r>
  <r>
    <s v="INV-000218"/>
    <x v="217"/>
    <x v="0"/>
    <s v="QuickStock"/>
    <x v="2"/>
    <n v="297.95999999999998"/>
    <n v="2"/>
    <n v="11"/>
    <n v="595.91999999999996"/>
    <s v="In Stock"/>
    <x v="174"/>
    <x v="1"/>
  </r>
  <r>
    <s v="INV-000219"/>
    <x v="218"/>
    <x v="7"/>
    <s v="ZenithSupply"/>
    <x v="4"/>
    <n v="395.69"/>
    <n v="3"/>
    <n v="61"/>
    <n v="1187.07"/>
    <s v="In Stock"/>
    <x v="175"/>
    <x v="2"/>
  </r>
  <r>
    <s v="INV-000220"/>
    <x v="219"/>
    <x v="2"/>
    <s v="QuickStock"/>
    <x v="4"/>
    <n v="4575.7700000000004"/>
    <n v="4"/>
    <n v="30"/>
    <n v="18303.080000000002"/>
    <s v="In Stock"/>
    <x v="176"/>
    <x v="3"/>
  </r>
  <r>
    <s v="INV-000221"/>
    <x v="220"/>
    <x v="8"/>
    <s v="MegaSupply"/>
    <x v="1"/>
    <n v="491.47"/>
    <n v="1"/>
    <n v="76"/>
    <n v="491.47"/>
    <s v="Low Stock"/>
    <x v="177"/>
    <x v="0"/>
  </r>
  <r>
    <s v="INV-000222"/>
    <x v="221"/>
    <x v="9"/>
    <s v="PrimeParts"/>
    <x v="2"/>
    <n v="2426.88"/>
    <n v="2"/>
    <n v="77"/>
    <n v="4853.76"/>
    <s v="In Stock"/>
    <x v="146"/>
    <x v="1"/>
  </r>
  <r>
    <s v="INV-000223"/>
    <x v="222"/>
    <x v="9"/>
    <s v="AlphaGoods"/>
    <x v="5"/>
    <n v="3493.63"/>
    <n v="3"/>
    <n v="78"/>
    <n v="10480.89"/>
    <s v="In Stock"/>
    <x v="178"/>
    <x v="2"/>
  </r>
  <r>
    <s v="INV-000224"/>
    <x v="223"/>
    <x v="7"/>
    <s v="GlobalTrade"/>
    <x v="0"/>
    <n v="4253.2700000000004"/>
    <n v="4"/>
    <n v="86"/>
    <n v="17013.080000000002"/>
    <s v="Out of Stock"/>
    <x v="179"/>
    <x v="3"/>
  </r>
  <r>
    <s v="INV-000225"/>
    <x v="224"/>
    <x v="0"/>
    <s v="AlphaGoods"/>
    <x v="0"/>
    <n v="864.64"/>
    <n v="1"/>
    <n v="93"/>
    <n v="864.64"/>
    <s v="In Stock"/>
    <x v="180"/>
    <x v="0"/>
  </r>
  <r>
    <s v="INV-000226"/>
    <x v="225"/>
    <x v="4"/>
    <s v="QuickStock"/>
    <x v="1"/>
    <n v="2194.52"/>
    <n v="2"/>
    <n v="85"/>
    <n v="4389.04"/>
    <s v="Low Stock"/>
    <x v="181"/>
    <x v="1"/>
  </r>
  <r>
    <s v="INV-000227"/>
    <x v="226"/>
    <x v="5"/>
    <s v="FastSource"/>
    <x v="1"/>
    <n v="1264.8900000000001"/>
    <n v="3"/>
    <n v="64"/>
    <n v="3794.67"/>
    <s v="Out of Stock"/>
    <x v="182"/>
    <x v="2"/>
  </r>
  <r>
    <s v="INV-000228"/>
    <x v="227"/>
    <x v="0"/>
    <s v="GlobalTrade"/>
    <x v="5"/>
    <n v="1286.56"/>
    <n v="4"/>
    <n v="72"/>
    <n v="5146.24"/>
    <s v="Out of Stock"/>
    <x v="183"/>
    <x v="3"/>
  </r>
  <r>
    <s v="INV-000229"/>
    <x v="228"/>
    <x v="4"/>
    <s v="AlphaGoods"/>
    <x v="2"/>
    <n v="1526.16"/>
    <n v="1"/>
    <n v="41"/>
    <n v="1526.16"/>
    <s v="In Stock"/>
    <x v="184"/>
    <x v="0"/>
  </r>
  <r>
    <s v="INV-000230"/>
    <x v="229"/>
    <x v="9"/>
    <s v="GlobalTrade"/>
    <x v="2"/>
    <n v="2939.71"/>
    <n v="2"/>
    <n v="75"/>
    <n v="5879.42"/>
    <s v="In Stock"/>
    <x v="185"/>
    <x v="1"/>
  </r>
  <r>
    <s v="INV-000231"/>
    <x v="230"/>
    <x v="1"/>
    <s v="GlobalTrade"/>
    <x v="0"/>
    <n v="92.72"/>
    <n v="3"/>
    <n v="89"/>
    <n v="278.15999999999997"/>
    <s v="Low Stock"/>
    <x v="131"/>
    <x v="2"/>
  </r>
  <r>
    <s v="INV-000232"/>
    <x v="231"/>
    <x v="8"/>
    <s v="FastSource"/>
    <x v="0"/>
    <n v="2049.7399999999998"/>
    <n v="4"/>
    <n v="12"/>
    <n v="8198.9599999999991"/>
    <s v="In Stock"/>
    <x v="186"/>
    <x v="3"/>
  </r>
  <r>
    <s v="INV-000233"/>
    <x v="232"/>
    <x v="7"/>
    <s v="MegaSupply"/>
    <x v="0"/>
    <n v="942.28"/>
    <n v="1"/>
    <n v="34"/>
    <n v="942.28"/>
    <s v="Low Stock"/>
    <x v="187"/>
    <x v="0"/>
  </r>
  <r>
    <s v="INV-000234"/>
    <x v="233"/>
    <x v="8"/>
    <s v="PrimeParts"/>
    <x v="2"/>
    <n v="4835.92"/>
    <n v="2"/>
    <n v="93"/>
    <n v="9671.84"/>
    <s v="Low Stock"/>
    <x v="188"/>
    <x v="1"/>
  </r>
  <r>
    <s v="INV-000235"/>
    <x v="234"/>
    <x v="3"/>
    <s v="GlobalTrade"/>
    <x v="3"/>
    <n v="2917.82"/>
    <n v="3"/>
    <n v="76"/>
    <n v="8753.4600000000009"/>
    <s v="Low Stock"/>
    <x v="189"/>
    <x v="2"/>
  </r>
  <r>
    <s v="INV-000236"/>
    <x v="235"/>
    <x v="3"/>
    <s v="QuickStock"/>
    <x v="5"/>
    <n v="4341.8"/>
    <n v="4"/>
    <n v="84"/>
    <n v="17367.2"/>
    <s v="Low Stock"/>
    <x v="152"/>
    <x v="3"/>
  </r>
  <r>
    <s v="INV-000237"/>
    <x v="236"/>
    <x v="0"/>
    <s v="QuickStock"/>
    <x v="2"/>
    <n v="986.49"/>
    <n v="1"/>
    <n v="79"/>
    <n v="986.49"/>
    <s v="In Stock"/>
    <x v="190"/>
    <x v="0"/>
  </r>
  <r>
    <s v="INV-000238"/>
    <x v="237"/>
    <x v="9"/>
    <s v="FastSource"/>
    <x v="2"/>
    <n v="4051.98"/>
    <n v="2"/>
    <n v="55"/>
    <n v="8103.96"/>
    <s v="In Stock"/>
    <x v="191"/>
    <x v="1"/>
  </r>
  <r>
    <s v="INV-000239"/>
    <x v="238"/>
    <x v="9"/>
    <s v="MegaSupply"/>
    <x v="2"/>
    <n v="2079.7600000000002"/>
    <n v="3"/>
    <n v="98"/>
    <n v="6239.2800000000007"/>
    <s v="In Stock"/>
    <x v="147"/>
    <x v="2"/>
  </r>
  <r>
    <s v="INV-000240"/>
    <x v="239"/>
    <x v="5"/>
    <s v="ZenithSupply"/>
    <x v="1"/>
    <n v="896.7"/>
    <n v="4"/>
    <n v="13"/>
    <n v="3586.8"/>
    <s v="In Stock"/>
    <x v="192"/>
    <x v="3"/>
  </r>
  <r>
    <s v="INV-000241"/>
    <x v="240"/>
    <x v="5"/>
    <s v="PrimeParts"/>
    <x v="0"/>
    <n v="3808.61"/>
    <n v="1"/>
    <n v="11"/>
    <n v="3808.61"/>
    <s v="In Stock"/>
    <x v="193"/>
    <x v="0"/>
  </r>
  <r>
    <s v="INV-000242"/>
    <x v="241"/>
    <x v="5"/>
    <s v="PrimeParts"/>
    <x v="4"/>
    <n v="3812.44"/>
    <n v="2"/>
    <n v="56"/>
    <n v="7624.88"/>
    <s v="In Stock"/>
    <x v="139"/>
    <x v="1"/>
  </r>
  <r>
    <s v="INV-000243"/>
    <x v="242"/>
    <x v="1"/>
    <s v="SupplyCo"/>
    <x v="4"/>
    <n v="4979.4799999999996"/>
    <n v="3"/>
    <n v="81"/>
    <n v="14938.439999999999"/>
    <s v="In Stock"/>
    <x v="194"/>
    <x v="2"/>
  </r>
  <r>
    <s v="INV-000244"/>
    <x v="243"/>
    <x v="2"/>
    <s v="MegaSupply"/>
    <x v="3"/>
    <n v="3906.88"/>
    <n v="4"/>
    <n v="72"/>
    <n v="15627.52"/>
    <s v="In Stock"/>
    <x v="195"/>
    <x v="3"/>
  </r>
  <r>
    <s v="INV-000245"/>
    <x v="244"/>
    <x v="6"/>
    <s v="QuickStock"/>
    <x v="1"/>
    <n v="734.88"/>
    <n v="1"/>
    <n v="55"/>
    <n v="734.88"/>
    <s v="In Stock"/>
    <x v="196"/>
    <x v="0"/>
  </r>
  <r>
    <s v="INV-000246"/>
    <x v="245"/>
    <x v="2"/>
    <s v="QuickStock"/>
    <x v="2"/>
    <n v="1619.5"/>
    <n v="2"/>
    <n v="70"/>
    <n v="3239"/>
    <s v="In Stock"/>
    <x v="197"/>
    <x v="1"/>
  </r>
  <r>
    <s v="INV-000247"/>
    <x v="246"/>
    <x v="8"/>
    <s v="FastSource"/>
    <x v="2"/>
    <n v="2264.12"/>
    <n v="3"/>
    <n v="23"/>
    <n v="6792.36"/>
    <s v="Out of Stock"/>
    <x v="198"/>
    <x v="2"/>
  </r>
  <r>
    <s v="INV-000248"/>
    <x v="247"/>
    <x v="2"/>
    <s v="GlobalTrade"/>
    <x v="3"/>
    <n v="642"/>
    <n v="4"/>
    <n v="13"/>
    <n v="2568"/>
    <s v="In Stock"/>
    <x v="199"/>
    <x v="3"/>
  </r>
  <r>
    <s v="INV-000249"/>
    <x v="248"/>
    <x v="1"/>
    <s v="MegaSupply"/>
    <x v="3"/>
    <n v="3942.31"/>
    <n v="1"/>
    <n v="59"/>
    <n v="3942.31"/>
    <s v="Low Stock"/>
    <x v="200"/>
    <x v="0"/>
  </r>
  <r>
    <s v="INV-000250"/>
    <x v="249"/>
    <x v="8"/>
    <s v="PrimeParts"/>
    <x v="2"/>
    <n v="2638.23"/>
    <n v="2"/>
    <n v="66"/>
    <n v="5276.46"/>
    <s v="In Stock"/>
    <x v="201"/>
    <x v="1"/>
  </r>
  <r>
    <s v="INV-000251"/>
    <x v="250"/>
    <x v="2"/>
    <s v="AlphaGoods"/>
    <x v="1"/>
    <n v="4722.8"/>
    <n v="3"/>
    <n v="54"/>
    <n v="14168.400000000001"/>
    <s v="In Stock"/>
    <x v="202"/>
    <x v="2"/>
  </r>
  <r>
    <s v="INV-000252"/>
    <x v="251"/>
    <x v="1"/>
    <s v="QuickStock"/>
    <x v="0"/>
    <n v="2950.65"/>
    <n v="4"/>
    <n v="25"/>
    <n v="11802.6"/>
    <s v="In Stock"/>
    <x v="203"/>
    <x v="3"/>
  </r>
  <r>
    <s v="INV-000253"/>
    <x v="252"/>
    <x v="6"/>
    <s v="MegaSupply"/>
    <x v="5"/>
    <n v="2619.27"/>
    <n v="1"/>
    <n v="48"/>
    <n v="2619.27"/>
    <s v="In Stock"/>
    <x v="204"/>
    <x v="0"/>
  </r>
  <r>
    <s v="INV-000254"/>
    <x v="253"/>
    <x v="2"/>
    <s v="SupplyCo"/>
    <x v="2"/>
    <n v="366.41"/>
    <n v="2"/>
    <n v="96"/>
    <n v="732.82"/>
    <s v="Out of Stock"/>
    <x v="205"/>
    <x v="1"/>
  </r>
  <r>
    <s v="INV-000255"/>
    <x v="254"/>
    <x v="1"/>
    <s v="QuickStock"/>
    <x v="2"/>
    <n v="755.24"/>
    <n v="3"/>
    <n v="17"/>
    <n v="2265.7200000000003"/>
    <s v="Out of Stock"/>
    <x v="206"/>
    <x v="2"/>
  </r>
  <r>
    <s v="INV-000256"/>
    <x v="255"/>
    <x v="5"/>
    <s v="QuickStock"/>
    <x v="0"/>
    <n v="4249.1400000000003"/>
    <n v="4"/>
    <n v="92"/>
    <n v="16996.560000000001"/>
    <s v="In Stock"/>
    <x v="207"/>
    <x v="3"/>
  </r>
  <r>
    <s v="INV-000257"/>
    <x v="256"/>
    <x v="9"/>
    <s v="MegaSupply"/>
    <x v="3"/>
    <n v="4953.47"/>
    <n v="1"/>
    <n v="55"/>
    <n v="4953.47"/>
    <s v="Out of Stock"/>
    <x v="208"/>
    <x v="0"/>
  </r>
  <r>
    <s v="INV-000258"/>
    <x v="257"/>
    <x v="5"/>
    <s v="FastSource"/>
    <x v="1"/>
    <n v="2081.7399999999998"/>
    <n v="2"/>
    <n v="73"/>
    <n v="4163.4799999999996"/>
    <s v="Low Stock"/>
    <x v="209"/>
    <x v="1"/>
  </r>
  <r>
    <s v="INV-000259"/>
    <x v="258"/>
    <x v="9"/>
    <s v="SupplyCo"/>
    <x v="5"/>
    <n v="4052.33"/>
    <n v="3"/>
    <n v="61"/>
    <n v="12156.99"/>
    <s v="In Stock"/>
    <x v="210"/>
    <x v="2"/>
  </r>
  <r>
    <s v="INV-000260"/>
    <x v="259"/>
    <x v="7"/>
    <s v="AlphaGoods"/>
    <x v="0"/>
    <n v="3141.65"/>
    <n v="4"/>
    <n v="28"/>
    <n v="12566.6"/>
    <s v="In Stock"/>
    <x v="211"/>
    <x v="3"/>
  </r>
  <r>
    <s v="INV-000261"/>
    <x v="260"/>
    <x v="7"/>
    <s v="QuickStock"/>
    <x v="3"/>
    <n v="4795.71"/>
    <n v="1"/>
    <n v="99"/>
    <n v="4795.71"/>
    <s v="Out of Stock"/>
    <x v="124"/>
    <x v="0"/>
  </r>
  <r>
    <s v="INV-000262"/>
    <x v="261"/>
    <x v="7"/>
    <s v="QuickStock"/>
    <x v="2"/>
    <n v="1198.3"/>
    <n v="2"/>
    <n v="91"/>
    <n v="2396.6"/>
    <s v="Out of Stock"/>
    <x v="212"/>
    <x v="1"/>
  </r>
  <r>
    <s v="INV-000263"/>
    <x v="262"/>
    <x v="6"/>
    <s v="QuickStock"/>
    <x v="2"/>
    <n v="2728.73"/>
    <n v="3"/>
    <n v="38"/>
    <n v="8186.1900000000005"/>
    <s v="In Stock"/>
    <x v="213"/>
    <x v="2"/>
  </r>
  <r>
    <s v="INV-000264"/>
    <x v="263"/>
    <x v="5"/>
    <s v="QuickStock"/>
    <x v="0"/>
    <n v="2049.89"/>
    <n v="4"/>
    <n v="60"/>
    <n v="8199.56"/>
    <s v="Out of Stock"/>
    <x v="178"/>
    <x v="3"/>
  </r>
  <r>
    <s v="INV-000265"/>
    <x v="264"/>
    <x v="9"/>
    <s v="GlobalTrade"/>
    <x v="1"/>
    <n v="2713.16"/>
    <n v="1"/>
    <n v="23"/>
    <n v="2713.16"/>
    <s v="Low Stock"/>
    <x v="214"/>
    <x v="0"/>
  </r>
  <r>
    <s v="INV-000266"/>
    <x v="265"/>
    <x v="1"/>
    <s v="SupplyCo"/>
    <x v="1"/>
    <n v="1351.6"/>
    <n v="2"/>
    <n v="45"/>
    <n v="2703.2"/>
    <s v="In Stock"/>
    <x v="215"/>
    <x v="1"/>
  </r>
  <r>
    <s v="INV-000267"/>
    <x v="266"/>
    <x v="8"/>
    <s v="SupplyCo"/>
    <x v="2"/>
    <n v="2493.75"/>
    <n v="3"/>
    <n v="20"/>
    <n v="7481.25"/>
    <s v="In Stock"/>
    <x v="216"/>
    <x v="2"/>
  </r>
  <r>
    <s v="INV-000268"/>
    <x v="267"/>
    <x v="1"/>
    <s v="GlobalTrade"/>
    <x v="5"/>
    <n v="3127.77"/>
    <n v="4"/>
    <n v="65"/>
    <n v="12511.08"/>
    <s v="Low Stock"/>
    <x v="217"/>
    <x v="3"/>
  </r>
  <r>
    <s v="INV-000269"/>
    <x v="268"/>
    <x v="8"/>
    <s v="SupplyCo"/>
    <x v="4"/>
    <n v="415.27"/>
    <n v="1"/>
    <n v="59"/>
    <n v="415.27"/>
    <s v="Out of Stock"/>
    <x v="218"/>
    <x v="0"/>
  </r>
  <r>
    <s v="INV-000270"/>
    <x v="269"/>
    <x v="3"/>
    <s v="MegaSupply"/>
    <x v="2"/>
    <n v="3717.51"/>
    <n v="2"/>
    <n v="54"/>
    <n v="7435.02"/>
    <s v="Discontinued"/>
    <x v="219"/>
    <x v="1"/>
  </r>
  <r>
    <s v="INV-000271"/>
    <x v="270"/>
    <x v="1"/>
    <s v="GlobalTrade"/>
    <x v="2"/>
    <n v="3535.55"/>
    <n v="3"/>
    <n v="82"/>
    <n v="10606.650000000001"/>
    <s v="In Stock"/>
    <x v="220"/>
    <x v="2"/>
  </r>
  <r>
    <s v="INV-000272"/>
    <x v="271"/>
    <x v="2"/>
    <s v="ZenithSupply"/>
    <x v="3"/>
    <n v="4403.4799999999996"/>
    <n v="4"/>
    <n v="48"/>
    <n v="17613.919999999998"/>
    <s v="In Stock"/>
    <x v="221"/>
    <x v="3"/>
  </r>
  <r>
    <s v="INV-000273"/>
    <x v="272"/>
    <x v="2"/>
    <s v="GlobalTrade"/>
    <x v="4"/>
    <n v="2135.02"/>
    <n v="1"/>
    <n v="74"/>
    <n v="2135.02"/>
    <s v="In Stock"/>
    <x v="222"/>
    <x v="0"/>
  </r>
  <r>
    <s v="INV-000274"/>
    <x v="273"/>
    <x v="0"/>
    <s v="GlobalTrade"/>
    <x v="2"/>
    <n v="317.73"/>
    <n v="2"/>
    <n v="43"/>
    <n v="635.46"/>
    <s v="In Stock"/>
    <x v="130"/>
    <x v="1"/>
  </r>
  <r>
    <s v="INV-000275"/>
    <x v="274"/>
    <x v="5"/>
    <s v="QuickStock"/>
    <x v="5"/>
    <n v="2312.69"/>
    <n v="3"/>
    <n v="39"/>
    <n v="6938.07"/>
    <s v="Low Stock"/>
    <x v="223"/>
    <x v="2"/>
  </r>
  <r>
    <s v="INV-000276"/>
    <x v="275"/>
    <x v="8"/>
    <s v="AlphaGoods"/>
    <x v="1"/>
    <n v="696.67"/>
    <n v="4"/>
    <n v="30"/>
    <n v="2786.68"/>
    <s v="In Stock"/>
    <x v="224"/>
    <x v="3"/>
  </r>
  <r>
    <s v="INV-000277"/>
    <x v="276"/>
    <x v="8"/>
    <s v="ZenithSupply"/>
    <x v="3"/>
    <n v="3240.76"/>
    <n v="1"/>
    <n v="84"/>
    <n v="3240.76"/>
    <s v="In Stock"/>
    <x v="225"/>
    <x v="0"/>
  </r>
  <r>
    <s v="INV-000278"/>
    <x v="277"/>
    <x v="5"/>
    <s v="SupplyCo"/>
    <x v="2"/>
    <n v="245.19"/>
    <n v="2"/>
    <n v="12"/>
    <n v="490.38"/>
    <s v="In Stock"/>
    <x v="226"/>
    <x v="1"/>
  </r>
  <r>
    <s v="INV-000279"/>
    <x v="278"/>
    <x v="6"/>
    <s v="ZenithSupply"/>
    <x v="0"/>
    <n v="1876.24"/>
    <n v="3"/>
    <n v="41"/>
    <n v="5628.72"/>
    <s v="In Stock"/>
    <x v="167"/>
    <x v="2"/>
  </r>
  <r>
    <s v="INV-000280"/>
    <x v="279"/>
    <x v="0"/>
    <s v="AlphaGoods"/>
    <x v="4"/>
    <n v="423.39"/>
    <n v="4"/>
    <n v="66"/>
    <n v="1693.56"/>
    <s v="In Stock"/>
    <x v="227"/>
    <x v="3"/>
  </r>
  <r>
    <s v="INV-000281"/>
    <x v="280"/>
    <x v="6"/>
    <s v="MegaSupply"/>
    <x v="0"/>
    <n v="26.8"/>
    <n v="1"/>
    <n v="77"/>
    <n v="26.8"/>
    <s v="Discontinued"/>
    <x v="228"/>
    <x v="0"/>
  </r>
  <r>
    <s v="INV-000282"/>
    <x v="281"/>
    <x v="6"/>
    <s v="GlobalTrade"/>
    <x v="0"/>
    <n v="4803.18"/>
    <n v="2"/>
    <n v="95"/>
    <n v="9606.36"/>
    <s v="In Stock"/>
    <x v="229"/>
    <x v="1"/>
  </r>
  <r>
    <s v="INV-000283"/>
    <x v="282"/>
    <x v="6"/>
    <s v="AlphaGoods"/>
    <x v="1"/>
    <n v="4980.68"/>
    <n v="3"/>
    <n v="66"/>
    <n v="14942.04"/>
    <s v="In Stock"/>
    <x v="154"/>
    <x v="2"/>
  </r>
  <r>
    <s v="INV-000284"/>
    <x v="283"/>
    <x v="5"/>
    <s v="FastSource"/>
    <x v="4"/>
    <n v="2781.96"/>
    <n v="4"/>
    <n v="32"/>
    <n v="11127.84"/>
    <s v="In Stock"/>
    <x v="132"/>
    <x v="3"/>
  </r>
  <r>
    <s v="INV-000285"/>
    <x v="284"/>
    <x v="6"/>
    <s v="ZenithSupply"/>
    <x v="0"/>
    <n v="1202.3900000000001"/>
    <n v="1"/>
    <n v="59"/>
    <n v="1202.3900000000001"/>
    <s v="Discontinued"/>
    <x v="230"/>
    <x v="0"/>
  </r>
  <r>
    <s v="INV-000286"/>
    <x v="285"/>
    <x v="2"/>
    <s v="PrimeParts"/>
    <x v="1"/>
    <n v="4556.38"/>
    <n v="2"/>
    <n v="24"/>
    <n v="9112.76"/>
    <s v="In Stock"/>
    <x v="231"/>
    <x v="1"/>
  </r>
  <r>
    <s v="INV-000287"/>
    <x v="286"/>
    <x v="7"/>
    <s v="MegaSupply"/>
    <x v="0"/>
    <n v="4615.95"/>
    <n v="3"/>
    <n v="59"/>
    <n v="13847.849999999999"/>
    <s v="In Stock"/>
    <x v="232"/>
    <x v="2"/>
  </r>
  <r>
    <s v="INV-000288"/>
    <x v="287"/>
    <x v="3"/>
    <s v="FastSource"/>
    <x v="4"/>
    <n v="4274"/>
    <n v="4"/>
    <n v="72"/>
    <n v="17096"/>
    <s v="Low Stock"/>
    <x v="164"/>
    <x v="3"/>
  </r>
  <r>
    <s v="INV-000289"/>
    <x v="288"/>
    <x v="8"/>
    <s v="GlobalTrade"/>
    <x v="4"/>
    <n v="2726.41"/>
    <n v="1"/>
    <n v="29"/>
    <n v="2726.41"/>
    <s v="In Stock"/>
    <x v="222"/>
    <x v="0"/>
  </r>
  <r>
    <s v="INV-000290"/>
    <x v="289"/>
    <x v="8"/>
    <s v="FastSource"/>
    <x v="1"/>
    <n v="382.76"/>
    <n v="2"/>
    <n v="50"/>
    <n v="765.52"/>
    <s v="In Stock"/>
    <x v="233"/>
    <x v="1"/>
  </r>
  <r>
    <s v="INV-000291"/>
    <x v="290"/>
    <x v="3"/>
    <s v="ZenithSupply"/>
    <x v="2"/>
    <n v="451.31"/>
    <n v="3"/>
    <n v="56"/>
    <n v="1353.93"/>
    <s v="In Stock"/>
    <x v="234"/>
    <x v="2"/>
  </r>
  <r>
    <s v="INV-000292"/>
    <x v="291"/>
    <x v="5"/>
    <s v="PrimeParts"/>
    <x v="3"/>
    <n v="4484.13"/>
    <n v="4"/>
    <n v="47"/>
    <n v="17936.52"/>
    <s v="In Stock"/>
    <x v="235"/>
    <x v="3"/>
  </r>
  <r>
    <s v="INV-000293"/>
    <x v="292"/>
    <x v="1"/>
    <s v="GlobalTrade"/>
    <x v="5"/>
    <n v="4380.38"/>
    <n v="1"/>
    <n v="15"/>
    <n v="4380.38"/>
    <s v="Out of Stock"/>
    <x v="236"/>
    <x v="0"/>
  </r>
  <r>
    <s v="INV-000294"/>
    <x v="293"/>
    <x v="5"/>
    <s v="QuickStock"/>
    <x v="4"/>
    <n v="2177.64"/>
    <n v="2"/>
    <n v="75"/>
    <n v="4355.28"/>
    <s v="In Stock"/>
    <x v="237"/>
    <x v="1"/>
  </r>
  <r>
    <s v="INV-000295"/>
    <x v="294"/>
    <x v="8"/>
    <s v="ZenithSupply"/>
    <x v="3"/>
    <n v="1647.49"/>
    <n v="3"/>
    <n v="53"/>
    <n v="4942.47"/>
    <s v="In Stock"/>
    <x v="238"/>
    <x v="2"/>
  </r>
  <r>
    <s v="INV-000296"/>
    <x v="295"/>
    <x v="8"/>
    <s v="MegaSupply"/>
    <x v="2"/>
    <n v="3224.18"/>
    <n v="4"/>
    <n v="28"/>
    <n v="12896.72"/>
    <s v="Out of Stock"/>
    <x v="239"/>
    <x v="3"/>
  </r>
  <r>
    <s v="INV-000297"/>
    <x v="296"/>
    <x v="3"/>
    <s v="GlobalTrade"/>
    <x v="4"/>
    <n v="4036.87"/>
    <n v="1"/>
    <n v="39"/>
    <n v="4036.87"/>
    <s v="In Stock"/>
    <x v="240"/>
    <x v="0"/>
  </r>
  <r>
    <s v="INV-000298"/>
    <x v="297"/>
    <x v="6"/>
    <s v="ZenithSupply"/>
    <x v="0"/>
    <n v="3661.11"/>
    <n v="2"/>
    <n v="98"/>
    <n v="7322.22"/>
    <s v="Out of Stock"/>
    <x v="241"/>
    <x v="1"/>
  </r>
  <r>
    <s v="INV-000299"/>
    <x v="298"/>
    <x v="5"/>
    <s v="MegaSupply"/>
    <x v="0"/>
    <n v="3081.86"/>
    <n v="3"/>
    <n v="43"/>
    <n v="9245.58"/>
    <s v="In Stock"/>
    <x v="155"/>
    <x v="2"/>
  </r>
  <r>
    <s v="INV-000300"/>
    <x v="299"/>
    <x v="9"/>
    <s v="SupplyCo"/>
    <x v="0"/>
    <n v="1165.24"/>
    <n v="4"/>
    <n v="63"/>
    <n v="4660.96"/>
    <s v="Discontinued"/>
    <x v="242"/>
    <x v="3"/>
  </r>
  <r>
    <s v="INV-000301"/>
    <x v="300"/>
    <x v="3"/>
    <s v="GlobalTrade"/>
    <x v="0"/>
    <n v="1319.9"/>
    <n v="1"/>
    <n v="38"/>
    <n v="1319.9"/>
    <s v="In Stock"/>
    <x v="24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36CEB-A123-4E3F-9601-73D921FA7399}" name="PivotTable5" cacheId="1" applyNumberFormats="0" applyBorderFormats="0" applyFontFormats="0" applyPatternFormats="0" applyAlignmentFormats="0" applyWidthHeightFormats="1" dataCaption="Values" updatedVersion="8" minRefreshableVersion="5" useAutoFormatting="1" itemPrintTitles="1" createdVersion="8" indent="0" compact="0" outline="1" outlineData="1" compactData="0" multipleFieldFilters="0" chartFormat="5">
  <location ref="A1:B6" firstHeaderRow="1" firstDataRow="1" firstDataCol="1"/>
  <pivotFields count="12">
    <pivotField compact="0" showAll="0"/>
    <pivotField compact="0" showAll="0"/>
    <pivotField compact="0" showAll="0"/>
    <pivotField compact="0" showAll="0"/>
    <pivotField compact="0" showAll="0"/>
    <pivotField compact="0" numFmtId="4" showAll="0"/>
    <pivotField compact="0" numFmtId="1" showAll="0"/>
    <pivotField compact="0" numFmtId="2" showAll="0"/>
    <pivotField dataField="1" compact="0" numFmtId="165" showAll="0"/>
    <pivotField compact="0" showAll="0"/>
    <pivotField compact="0" numFmtId="14" showAll="0">
      <items count="245">
        <item x="26"/>
        <item x="93"/>
        <item x="44"/>
        <item x="19"/>
        <item x="113"/>
        <item x="18"/>
        <item x="5"/>
        <item x="58"/>
        <item x="99"/>
        <item x="65"/>
        <item x="11"/>
        <item x="102"/>
        <item x="22"/>
        <item x="28"/>
        <item x="57"/>
        <item x="46"/>
        <item x="98"/>
        <item x="68"/>
        <item x="109"/>
        <item x="41"/>
        <item x="36"/>
        <item x="25"/>
        <item x="79"/>
        <item x="50"/>
        <item x="74"/>
        <item x="20"/>
        <item x="45"/>
        <item x="39"/>
        <item x="32"/>
        <item x="34"/>
        <item x="83"/>
        <item x="108"/>
        <item x="0"/>
        <item x="33"/>
        <item x="71"/>
        <item x="100"/>
        <item x="60"/>
        <item x="67"/>
        <item x="69"/>
        <item x="94"/>
        <item x="87"/>
        <item x="81"/>
        <item x="24"/>
        <item x="51"/>
        <item x="86"/>
        <item x="66"/>
        <item x="10"/>
        <item x="115"/>
        <item x="38"/>
        <item x="6"/>
        <item x="105"/>
        <item x="90"/>
        <item x="85"/>
        <item x="42"/>
        <item x="77"/>
        <item x="53"/>
        <item x="21"/>
        <item x="27"/>
        <item x="111"/>
        <item x="48"/>
        <item x="54"/>
        <item x="59"/>
        <item x="62"/>
        <item x="23"/>
        <item x="97"/>
        <item x="3"/>
        <item x="106"/>
        <item x="78"/>
        <item x="82"/>
        <item x="96"/>
        <item x="114"/>
        <item x="64"/>
        <item x="43"/>
        <item x="14"/>
        <item x="75"/>
        <item x="80"/>
        <item x="8"/>
        <item x="30"/>
        <item x="4"/>
        <item x="12"/>
        <item x="73"/>
        <item x="107"/>
        <item x="104"/>
        <item x="2"/>
        <item x="112"/>
        <item x="91"/>
        <item x="103"/>
        <item x="15"/>
        <item x="7"/>
        <item x="110"/>
        <item x="61"/>
        <item x="35"/>
        <item x="70"/>
        <item x="47"/>
        <item x="95"/>
        <item x="16"/>
        <item x="52"/>
        <item x="101"/>
        <item x="49"/>
        <item x="31"/>
        <item x="72"/>
        <item x="40"/>
        <item x="88"/>
        <item x="89"/>
        <item x="17"/>
        <item x="1"/>
        <item x="92"/>
        <item x="63"/>
        <item x="37"/>
        <item x="29"/>
        <item x="76"/>
        <item x="55"/>
        <item x="9"/>
        <item x="13"/>
        <item x="84"/>
        <item x="56"/>
        <item x="177"/>
        <item x="152"/>
        <item x="201"/>
        <item x="167"/>
        <item x="139"/>
        <item x="212"/>
        <item x="208"/>
        <item x="221"/>
        <item x="149"/>
        <item x="151"/>
        <item x="159"/>
        <item x="175"/>
        <item x="158"/>
        <item x="215"/>
        <item x="225"/>
        <item x="180"/>
        <item x="209"/>
        <item x="131"/>
        <item x="183"/>
        <item x="123"/>
        <item x="133"/>
        <item x="118"/>
        <item x="120"/>
        <item x="147"/>
        <item x="224"/>
        <item x="205"/>
        <item x="161"/>
        <item x="206"/>
        <item x="127"/>
        <item x="165"/>
        <item x="170"/>
        <item x="213"/>
        <item x="195"/>
        <item x="135"/>
        <item x="163"/>
        <item x="218"/>
        <item x="164"/>
        <item x="176"/>
        <item x="186"/>
        <item x="143"/>
        <item x="230"/>
        <item x="129"/>
        <item x="210"/>
        <item x="200"/>
        <item x="216"/>
        <item x="211"/>
        <item x="173"/>
        <item x="150"/>
        <item x="203"/>
        <item x="198"/>
        <item x="242"/>
        <item x="145"/>
        <item x="202"/>
        <item x="227"/>
        <item x="171"/>
        <item x="124"/>
        <item x="189"/>
        <item x="240"/>
        <item x="185"/>
        <item x="239"/>
        <item x="222"/>
        <item x="233"/>
        <item x="181"/>
        <item x="174"/>
        <item x="241"/>
        <item x="179"/>
        <item x="144"/>
        <item x="188"/>
        <item x="184"/>
        <item x="236"/>
        <item x="132"/>
        <item x="207"/>
        <item x="130"/>
        <item x="125"/>
        <item x="141"/>
        <item x="146"/>
        <item x="231"/>
        <item x="138"/>
        <item x="169"/>
        <item x="217"/>
        <item x="153"/>
        <item x="187"/>
        <item x="182"/>
        <item x="219"/>
        <item x="119"/>
        <item x="122"/>
        <item x="162"/>
        <item x="137"/>
        <item x="235"/>
        <item x="155"/>
        <item x="229"/>
        <item x="223"/>
        <item x="156"/>
        <item x="166"/>
        <item x="232"/>
        <item x="116"/>
        <item x="168"/>
        <item x="194"/>
        <item x="128"/>
        <item x="142"/>
        <item x="191"/>
        <item x="234"/>
        <item x="197"/>
        <item x="192"/>
        <item x="148"/>
        <item x="154"/>
        <item x="160"/>
        <item x="204"/>
        <item x="238"/>
        <item x="126"/>
        <item x="243"/>
        <item x="134"/>
        <item x="190"/>
        <item x="237"/>
        <item x="140"/>
        <item x="193"/>
        <item x="228"/>
        <item x="214"/>
        <item x="117"/>
        <item x="121"/>
        <item x="196"/>
        <item x="136"/>
        <item x="172"/>
        <item x="226"/>
        <item x="178"/>
        <item x="157"/>
        <item x="199"/>
        <item x="220"/>
        <item t="default"/>
      </items>
    </pivotField>
    <pivotField axis="axisRow" compact="0" showAll="0" sortType="descending">
      <items count="5">
        <item x="2"/>
        <item x="0"/>
        <item x="1"/>
        <item x="3"/>
        <item t="default"/>
      </items>
      <autoSortScope>
        <pivotArea dataOnly="0" outline="0" fieldPosition="0">
          <references count="1">
            <reference field="4294967294" count="1" selected="0">
              <x v="0"/>
            </reference>
          </references>
        </pivotArea>
      </autoSortScope>
    </pivotField>
  </pivotFields>
  <rowFields count="1">
    <field x="11"/>
  </rowFields>
  <rowItems count="5">
    <i>
      <x v="3"/>
    </i>
    <i>
      <x/>
    </i>
    <i>
      <x v="2"/>
    </i>
    <i>
      <x v="1"/>
    </i>
    <i t="grand">
      <x/>
    </i>
  </rowItems>
  <colItems count="1">
    <i/>
  </colItems>
  <dataFields count="1">
    <dataField name="Sum of Total Sales(₹)" fld="8" baseField="0" baseItem="0" numFmtId="165"/>
  </dataFields>
  <chartFormats count="3">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11" count="1" selected="0">
            <x v="3"/>
          </reference>
        </references>
      </pivotArea>
    </chartFormat>
  </chartFormats>
  <pivotTableStyleInfo name="PivotStyleLight16" showRowHeaders="1" showColHeaders="1" showRowStripes="0" showColStripes="0" showLastColumn="1"/>
  <filters count="1">
    <filter fld="10" type="dateBetween" evalOrder="-1" id="70" name="Last Updated">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B9CF9F-631C-4B69-91CF-83CE3ED91175}"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7">
  <location ref="A45:B56" firstHeaderRow="1" firstDataRow="1" firstDataCol="1"/>
  <pivotFields count="12">
    <pivotField showAll="0"/>
    <pivotField axis="axisRow" showAll="0" measureFilter="1">
      <items count="302">
        <item x="0"/>
        <item x="9"/>
        <item x="99"/>
        <item x="100"/>
        <item x="101"/>
        <item x="102"/>
        <item x="103"/>
        <item x="104"/>
        <item x="105"/>
        <item x="106"/>
        <item x="107"/>
        <item x="108"/>
        <item x="10"/>
        <item x="109"/>
        <item x="110"/>
        <item x="111"/>
        <item x="112"/>
        <item x="113"/>
        <item x="114"/>
        <item x="115"/>
        <item x="116"/>
        <item x="117"/>
        <item x="118"/>
        <item x="11"/>
        <item x="119"/>
        <item x="120"/>
        <item x="121"/>
        <item x="122"/>
        <item x="123"/>
        <item x="124"/>
        <item x="125"/>
        <item x="126"/>
        <item x="127"/>
        <item x="128"/>
        <item x="12"/>
        <item x="129"/>
        <item x="130"/>
        <item x="131"/>
        <item x="132"/>
        <item x="133"/>
        <item x="134"/>
        <item x="135"/>
        <item x="136"/>
        <item x="137"/>
        <item x="138"/>
        <item x="13"/>
        <item x="139"/>
        <item x="140"/>
        <item x="141"/>
        <item x="142"/>
        <item x="143"/>
        <item x="144"/>
        <item x="145"/>
        <item x="146"/>
        <item x="147"/>
        <item x="148"/>
        <item x="14"/>
        <item x="149"/>
        <item x="150"/>
        <item x="151"/>
        <item x="152"/>
        <item x="153"/>
        <item x="154"/>
        <item x="155"/>
        <item x="156"/>
        <item x="157"/>
        <item x="158"/>
        <item x="15"/>
        <item x="159"/>
        <item x="160"/>
        <item x="161"/>
        <item x="162"/>
        <item x="163"/>
        <item x="164"/>
        <item x="165"/>
        <item x="166"/>
        <item x="167"/>
        <item x="168"/>
        <item x="16"/>
        <item x="169"/>
        <item x="170"/>
        <item x="171"/>
        <item x="172"/>
        <item x="173"/>
        <item x="174"/>
        <item x="175"/>
        <item x="176"/>
        <item x="177"/>
        <item x="178"/>
        <item x="17"/>
        <item x="179"/>
        <item x="180"/>
        <item x="181"/>
        <item x="182"/>
        <item x="183"/>
        <item x="184"/>
        <item x="185"/>
        <item x="186"/>
        <item x="187"/>
        <item x="188"/>
        <item x="18"/>
        <item x="189"/>
        <item x="190"/>
        <item x="191"/>
        <item x="192"/>
        <item x="193"/>
        <item x="194"/>
        <item x="195"/>
        <item x="196"/>
        <item x="197"/>
        <item x="198"/>
        <item x="1"/>
        <item x="19"/>
        <item x="199"/>
        <item x="200"/>
        <item x="201"/>
        <item x="202"/>
        <item x="203"/>
        <item x="204"/>
        <item x="205"/>
        <item x="206"/>
        <item x="207"/>
        <item x="208"/>
        <item x="20"/>
        <item x="209"/>
        <item x="210"/>
        <item x="211"/>
        <item x="212"/>
        <item x="213"/>
        <item x="214"/>
        <item x="215"/>
        <item x="216"/>
        <item x="217"/>
        <item x="218"/>
        <item x="21"/>
        <item x="219"/>
        <item x="220"/>
        <item x="221"/>
        <item x="222"/>
        <item x="223"/>
        <item x="224"/>
        <item x="225"/>
        <item x="226"/>
        <item x="227"/>
        <item x="228"/>
        <item x="22"/>
        <item x="229"/>
        <item x="230"/>
        <item x="231"/>
        <item x="232"/>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
        <item x="31"/>
        <item x="32"/>
        <item x="33"/>
        <item x="34"/>
        <item x="35"/>
        <item x="36"/>
        <item x="37"/>
        <item x="38"/>
        <item x="3"/>
        <item x="39"/>
        <item x="40"/>
        <item x="41"/>
        <item x="42"/>
        <item x="43"/>
        <item x="44"/>
        <item x="45"/>
        <item x="46"/>
        <item x="47"/>
        <item x="48"/>
        <item x="4"/>
        <item x="49"/>
        <item x="50"/>
        <item x="51"/>
        <item x="52"/>
        <item x="53"/>
        <item x="54"/>
        <item x="55"/>
        <item x="56"/>
        <item x="57"/>
        <item x="58"/>
        <item x="5"/>
        <item x="59"/>
        <item x="60"/>
        <item x="61"/>
        <item x="62"/>
        <item x="63"/>
        <item x="64"/>
        <item x="65"/>
        <item x="66"/>
        <item x="67"/>
        <item x="68"/>
        <item x="6"/>
        <item x="69"/>
        <item x="70"/>
        <item x="71"/>
        <item x="72"/>
        <item x="73"/>
        <item x="74"/>
        <item x="75"/>
        <item x="76"/>
        <item x="77"/>
        <item x="78"/>
        <item x="7"/>
        <item x="79"/>
        <item x="80"/>
        <item x="81"/>
        <item x="82"/>
        <item x="83"/>
        <item x="84"/>
        <item x="85"/>
        <item x="86"/>
        <item x="87"/>
        <item x="88"/>
        <item x="8"/>
        <item x="89"/>
        <item x="90"/>
        <item x="91"/>
        <item x="92"/>
        <item x="93"/>
        <item x="94"/>
        <item x="95"/>
        <item x="96"/>
        <item x="97"/>
        <item x="98"/>
        <item t="default"/>
      </items>
    </pivotField>
    <pivotField showAll="0"/>
    <pivotField showAll="0"/>
    <pivotField showAll="0"/>
    <pivotField numFmtId="4" showAll="0"/>
    <pivotField numFmtId="1" showAll="0"/>
    <pivotField numFmtId="2" showAll="0"/>
    <pivotField dataField="1" numFmtId="165" showAll="0"/>
    <pivotField showAll="0"/>
    <pivotField numFmtId="14" showAll="0">
      <items count="245">
        <item x="26"/>
        <item x="93"/>
        <item x="44"/>
        <item x="19"/>
        <item x="113"/>
        <item x="18"/>
        <item x="5"/>
        <item x="58"/>
        <item x="99"/>
        <item x="65"/>
        <item x="11"/>
        <item x="102"/>
        <item x="22"/>
        <item x="28"/>
        <item x="57"/>
        <item x="46"/>
        <item x="98"/>
        <item x="68"/>
        <item x="109"/>
        <item x="41"/>
        <item x="36"/>
        <item x="25"/>
        <item x="79"/>
        <item x="50"/>
        <item x="74"/>
        <item x="20"/>
        <item x="45"/>
        <item x="39"/>
        <item x="32"/>
        <item x="34"/>
        <item x="83"/>
        <item x="108"/>
        <item x="0"/>
        <item x="33"/>
        <item x="71"/>
        <item x="100"/>
        <item x="60"/>
        <item x="67"/>
        <item x="69"/>
        <item x="94"/>
        <item x="87"/>
        <item x="81"/>
        <item x="24"/>
        <item x="51"/>
        <item x="86"/>
        <item x="66"/>
        <item x="10"/>
        <item x="115"/>
        <item x="38"/>
        <item x="6"/>
        <item x="105"/>
        <item x="90"/>
        <item x="85"/>
        <item x="42"/>
        <item x="77"/>
        <item x="53"/>
        <item x="21"/>
        <item x="27"/>
        <item x="111"/>
        <item x="48"/>
        <item x="54"/>
        <item x="59"/>
        <item x="62"/>
        <item x="23"/>
        <item x="97"/>
        <item x="3"/>
        <item x="106"/>
        <item x="78"/>
        <item x="82"/>
        <item x="96"/>
        <item x="114"/>
        <item x="64"/>
        <item x="43"/>
        <item x="14"/>
        <item x="75"/>
        <item x="80"/>
        <item x="8"/>
        <item x="30"/>
        <item x="4"/>
        <item x="12"/>
        <item x="73"/>
        <item x="107"/>
        <item x="104"/>
        <item x="2"/>
        <item x="112"/>
        <item x="91"/>
        <item x="103"/>
        <item x="15"/>
        <item x="7"/>
        <item x="110"/>
        <item x="61"/>
        <item x="35"/>
        <item x="70"/>
        <item x="47"/>
        <item x="95"/>
        <item x="16"/>
        <item x="52"/>
        <item x="101"/>
        <item x="49"/>
        <item x="31"/>
        <item x="72"/>
        <item x="40"/>
        <item x="88"/>
        <item x="89"/>
        <item x="17"/>
        <item x="1"/>
        <item x="92"/>
        <item x="63"/>
        <item x="37"/>
        <item x="29"/>
        <item x="76"/>
        <item x="55"/>
        <item x="9"/>
        <item x="13"/>
        <item x="84"/>
        <item x="56"/>
        <item x="177"/>
        <item x="152"/>
        <item x="201"/>
        <item x="167"/>
        <item x="139"/>
        <item x="212"/>
        <item x="208"/>
        <item x="221"/>
        <item x="149"/>
        <item x="151"/>
        <item x="159"/>
        <item x="175"/>
        <item x="158"/>
        <item x="215"/>
        <item x="225"/>
        <item x="180"/>
        <item x="209"/>
        <item x="131"/>
        <item x="183"/>
        <item x="123"/>
        <item x="133"/>
        <item x="118"/>
        <item x="120"/>
        <item x="147"/>
        <item x="224"/>
        <item x="205"/>
        <item x="161"/>
        <item x="206"/>
        <item x="127"/>
        <item x="165"/>
        <item x="170"/>
        <item x="213"/>
        <item x="195"/>
        <item x="135"/>
        <item x="163"/>
        <item x="218"/>
        <item x="164"/>
        <item x="176"/>
        <item x="186"/>
        <item x="143"/>
        <item x="230"/>
        <item x="129"/>
        <item x="210"/>
        <item x="200"/>
        <item x="216"/>
        <item x="211"/>
        <item x="173"/>
        <item x="150"/>
        <item x="203"/>
        <item x="198"/>
        <item x="242"/>
        <item x="145"/>
        <item x="202"/>
        <item x="227"/>
        <item x="171"/>
        <item x="124"/>
        <item x="189"/>
        <item x="240"/>
        <item x="185"/>
        <item x="239"/>
        <item x="222"/>
        <item x="233"/>
        <item x="181"/>
        <item x="174"/>
        <item x="241"/>
        <item x="179"/>
        <item x="144"/>
        <item x="188"/>
        <item x="184"/>
        <item x="236"/>
        <item x="132"/>
        <item x="207"/>
        <item x="130"/>
        <item x="125"/>
        <item x="141"/>
        <item x="146"/>
        <item x="231"/>
        <item x="138"/>
        <item x="169"/>
        <item x="217"/>
        <item x="153"/>
        <item x="187"/>
        <item x="182"/>
        <item x="219"/>
        <item x="119"/>
        <item x="122"/>
        <item x="162"/>
        <item x="137"/>
        <item x="235"/>
        <item x="155"/>
        <item x="229"/>
        <item x="223"/>
        <item x="156"/>
        <item x="166"/>
        <item x="232"/>
        <item x="116"/>
        <item x="168"/>
        <item x="194"/>
        <item x="128"/>
        <item x="142"/>
        <item x="191"/>
        <item x="234"/>
        <item x="197"/>
        <item x="192"/>
        <item x="148"/>
        <item x="154"/>
        <item x="160"/>
        <item x="204"/>
        <item x="238"/>
        <item x="126"/>
        <item x="243"/>
        <item x="134"/>
        <item x="190"/>
        <item x="237"/>
        <item x="140"/>
        <item x="193"/>
        <item x="228"/>
        <item x="214"/>
        <item x="117"/>
        <item x="121"/>
        <item x="196"/>
        <item x="136"/>
        <item x="172"/>
        <item x="226"/>
        <item x="178"/>
        <item x="157"/>
        <item x="199"/>
        <item x="220"/>
        <item t="default"/>
      </items>
    </pivotField>
    <pivotField showAll="0">
      <items count="5">
        <item x="2"/>
        <item x="0"/>
        <item x="1"/>
        <item x="3"/>
        <item t="default"/>
      </items>
    </pivotField>
  </pivotFields>
  <rowFields count="1">
    <field x="1"/>
  </rowFields>
  <rowItems count="11">
    <i>
      <x v="15"/>
    </i>
    <i>
      <x v="28"/>
    </i>
    <i>
      <x v="32"/>
    </i>
    <i>
      <x v="50"/>
    </i>
    <i>
      <x v="189"/>
    </i>
    <i>
      <x v="239"/>
    </i>
    <i>
      <x v="240"/>
    </i>
    <i>
      <x v="266"/>
    </i>
    <i>
      <x v="279"/>
    </i>
    <i>
      <x v="280"/>
    </i>
    <i t="grand">
      <x/>
    </i>
  </rowItems>
  <colItems count="1">
    <i/>
  </colItems>
  <dataFields count="1">
    <dataField name="Sum of Total Sales(₹)" fld="8" baseField="0" baseItem="0" numFmtId="165"/>
  </dataFields>
  <chartFormats count="7">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 count="1" selected="0">
            <x v="76"/>
          </reference>
        </references>
      </pivotArea>
    </chartFormat>
    <chartFormat chart="3" format="2">
      <pivotArea type="data" outline="0" fieldPosition="0">
        <references count="2">
          <reference field="4294967294" count="1" selected="0">
            <x v="0"/>
          </reference>
          <reference field="1" count="1" selected="0">
            <x v="94"/>
          </reference>
        </references>
      </pivotArea>
    </chartFormat>
    <chartFormat chart="3" format="3">
      <pivotArea type="data" outline="0" fieldPosition="0">
        <references count="2">
          <reference field="4294967294" count="1" selected="0">
            <x v="0"/>
          </reference>
          <reference field="1" count="1" selected="0">
            <x v="135"/>
          </reference>
        </references>
      </pivotArea>
    </chartFormat>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1" count="1" selected="0">
            <x v="76"/>
          </reference>
        </references>
      </pivotArea>
    </chartFormat>
    <chartFormat chart="6" format="9">
      <pivotArea type="data" outline="0" fieldPosition="0">
        <references count="2">
          <reference field="4294967294" count="1" selected="0">
            <x v="0"/>
          </reference>
          <reference field="1" count="1" selected="0">
            <x v="135"/>
          </reference>
        </references>
      </pivotArea>
    </chartFormat>
  </chartFormats>
  <pivotTableStyleInfo name="PivotStyleLight16" showRowHeaders="1" showColHeaders="1" showRowStripes="0" showColStripes="0" showLastColumn="1"/>
  <filters count="2">
    <filter fld="10" type="dateBetween" evalOrder="-1" id="71" name="Last Updated">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 fld="1"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1763EB-696F-480D-B4DC-EAE69ACA3975}" name="PivotTable7" cacheId="1" applyNumberFormats="0" applyBorderFormats="0" applyFontFormats="0" applyPatternFormats="0" applyAlignmentFormats="0" applyWidthHeightFormats="1" dataCaption="Values" updatedVersion="8" minRefreshableVersion="5" useAutoFormatting="1" itemPrintTitles="1" createdVersion="8" indent="0" compact="0" outline="1" outlineData="1" compactData="0" multipleFieldFilters="0" chartFormat="19">
  <location ref="A30:B37" firstHeaderRow="1" firstDataRow="1" firstDataCol="1"/>
  <pivotFields count="12">
    <pivotField compact="0" showAll="0"/>
    <pivotField compact="0" showAll="0"/>
    <pivotField compact="0" showAll="0">
      <items count="11">
        <item x="4"/>
        <item x="0"/>
        <item x="7"/>
        <item x="9"/>
        <item x="8"/>
        <item x="5"/>
        <item x="1"/>
        <item x="3"/>
        <item x="2"/>
        <item x="6"/>
        <item t="default"/>
      </items>
    </pivotField>
    <pivotField compact="0" showAll="0"/>
    <pivotField axis="axisRow" compact="0" showAll="0">
      <items count="7">
        <item x="1"/>
        <item x="2"/>
        <item x="3"/>
        <item x="5"/>
        <item x="4"/>
        <item x="0"/>
        <item t="default"/>
      </items>
    </pivotField>
    <pivotField compact="0" numFmtId="4" showAll="0"/>
    <pivotField compact="0" numFmtId="1" showAll="0"/>
    <pivotField compact="0" numFmtId="2" showAll="0"/>
    <pivotField dataField="1" compact="0" numFmtId="165" showAll="0"/>
    <pivotField compact="0" showAll="0"/>
    <pivotField compact="0" numFmtId="14" showAll="0">
      <items count="245">
        <item x="26"/>
        <item x="93"/>
        <item x="44"/>
        <item x="19"/>
        <item x="113"/>
        <item x="18"/>
        <item x="5"/>
        <item x="58"/>
        <item x="99"/>
        <item x="65"/>
        <item x="11"/>
        <item x="102"/>
        <item x="22"/>
        <item x="28"/>
        <item x="57"/>
        <item x="46"/>
        <item x="98"/>
        <item x="68"/>
        <item x="109"/>
        <item x="41"/>
        <item x="36"/>
        <item x="25"/>
        <item x="79"/>
        <item x="50"/>
        <item x="74"/>
        <item x="20"/>
        <item x="45"/>
        <item x="39"/>
        <item x="32"/>
        <item x="34"/>
        <item x="83"/>
        <item x="108"/>
        <item x="0"/>
        <item x="33"/>
        <item x="71"/>
        <item x="100"/>
        <item x="60"/>
        <item x="67"/>
        <item x="69"/>
        <item x="94"/>
        <item x="87"/>
        <item x="81"/>
        <item x="24"/>
        <item x="51"/>
        <item x="86"/>
        <item x="66"/>
        <item x="10"/>
        <item x="115"/>
        <item x="38"/>
        <item x="6"/>
        <item x="105"/>
        <item x="90"/>
        <item x="85"/>
        <item x="42"/>
        <item x="77"/>
        <item x="53"/>
        <item x="21"/>
        <item x="27"/>
        <item x="111"/>
        <item x="48"/>
        <item x="54"/>
        <item x="59"/>
        <item x="62"/>
        <item x="23"/>
        <item x="97"/>
        <item x="3"/>
        <item x="106"/>
        <item x="78"/>
        <item x="82"/>
        <item x="96"/>
        <item x="114"/>
        <item x="64"/>
        <item x="43"/>
        <item x="14"/>
        <item x="75"/>
        <item x="80"/>
        <item x="8"/>
        <item x="30"/>
        <item x="4"/>
        <item x="12"/>
        <item x="73"/>
        <item x="107"/>
        <item x="104"/>
        <item x="2"/>
        <item x="112"/>
        <item x="91"/>
        <item x="103"/>
        <item x="15"/>
        <item x="7"/>
        <item x="110"/>
        <item x="61"/>
        <item x="35"/>
        <item x="70"/>
        <item x="47"/>
        <item x="95"/>
        <item x="16"/>
        <item x="52"/>
        <item x="101"/>
        <item x="49"/>
        <item x="31"/>
        <item x="72"/>
        <item x="40"/>
        <item x="88"/>
        <item x="89"/>
        <item x="17"/>
        <item x="1"/>
        <item x="92"/>
        <item x="63"/>
        <item x="37"/>
        <item x="29"/>
        <item x="76"/>
        <item x="55"/>
        <item x="9"/>
        <item x="13"/>
        <item x="84"/>
        <item x="56"/>
        <item x="177"/>
        <item x="152"/>
        <item x="201"/>
        <item x="167"/>
        <item x="139"/>
        <item x="212"/>
        <item x="208"/>
        <item x="221"/>
        <item x="149"/>
        <item x="151"/>
        <item x="159"/>
        <item x="175"/>
        <item x="158"/>
        <item x="215"/>
        <item x="225"/>
        <item x="180"/>
        <item x="209"/>
        <item x="131"/>
        <item x="183"/>
        <item x="123"/>
        <item x="133"/>
        <item x="118"/>
        <item x="120"/>
        <item x="147"/>
        <item x="224"/>
        <item x="205"/>
        <item x="161"/>
        <item x="206"/>
        <item x="127"/>
        <item x="165"/>
        <item x="170"/>
        <item x="213"/>
        <item x="195"/>
        <item x="135"/>
        <item x="163"/>
        <item x="218"/>
        <item x="164"/>
        <item x="176"/>
        <item x="186"/>
        <item x="143"/>
        <item x="230"/>
        <item x="129"/>
        <item x="210"/>
        <item x="200"/>
        <item x="216"/>
        <item x="211"/>
        <item x="173"/>
        <item x="150"/>
        <item x="203"/>
        <item x="198"/>
        <item x="242"/>
        <item x="145"/>
        <item x="202"/>
        <item x="227"/>
        <item x="171"/>
        <item x="124"/>
        <item x="189"/>
        <item x="240"/>
        <item x="185"/>
        <item x="239"/>
        <item x="222"/>
        <item x="233"/>
        <item x="181"/>
        <item x="174"/>
        <item x="241"/>
        <item x="179"/>
        <item x="144"/>
        <item x="188"/>
        <item x="184"/>
        <item x="236"/>
        <item x="132"/>
        <item x="207"/>
        <item x="130"/>
        <item x="125"/>
        <item x="141"/>
        <item x="146"/>
        <item x="231"/>
        <item x="138"/>
        <item x="169"/>
        <item x="217"/>
        <item x="153"/>
        <item x="187"/>
        <item x="182"/>
        <item x="219"/>
        <item x="119"/>
        <item x="122"/>
        <item x="162"/>
        <item x="137"/>
        <item x="235"/>
        <item x="155"/>
        <item x="229"/>
        <item x="223"/>
        <item x="156"/>
        <item x="166"/>
        <item x="232"/>
        <item x="116"/>
        <item x="168"/>
        <item x="194"/>
        <item x="128"/>
        <item x="142"/>
        <item x="191"/>
        <item x="234"/>
        <item x="197"/>
        <item x="192"/>
        <item x="148"/>
        <item x="154"/>
        <item x="160"/>
        <item x="204"/>
        <item x="238"/>
        <item x="126"/>
        <item x="243"/>
        <item x="134"/>
        <item x="190"/>
        <item x="237"/>
        <item x="140"/>
        <item x="193"/>
        <item x="228"/>
        <item x="214"/>
        <item x="117"/>
        <item x="121"/>
        <item x="196"/>
        <item x="136"/>
        <item x="172"/>
        <item x="226"/>
        <item x="178"/>
        <item x="157"/>
        <item x="199"/>
        <item x="220"/>
        <item t="default"/>
      </items>
    </pivotField>
    <pivotField compact="0" showAll="0" sortType="descending">
      <items count="5">
        <item x="2"/>
        <item x="0"/>
        <item x="1"/>
        <item x="3"/>
        <item t="default"/>
      </items>
      <autoSortScope>
        <pivotArea dataOnly="0" outline="0" fieldPosition="0">
          <references count="1">
            <reference field="4294967294" count="1" selected="0">
              <x v="0"/>
            </reference>
          </references>
        </pivotArea>
      </autoSortScope>
    </pivotField>
  </pivotFields>
  <rowFields count="1">
    <field x="4"/>
  </rowFields>
  <rowItems count="7">
    <i>
      <x/>
    </i>
    <i>
      <x v="1"/>
    </i>
    <i>
      <x v="2"/>
    </i>
    <i>
      <x v="3"/>
    </i>
    <i>
      <x v="4"/>
    </i>
    <i>
      <x v="5"/>
    </i>
    <i t="grand">
      <x/>
    </i>
  </rowItems>
  <colItems count="1">
    <i/>
  </colItems>
  <dataFields count="1">
    <dataField name="Sum of Total Sales(₹)" fld="8" baseField="0" baseItem="0" numFmtId="165"/>
  </dataFields>
  <chartFormats count="15">
    <chartFormat chart="1" format="0" series="1">
      <pivotArea type="data" outline="0" fieldPosition="0">
        <references count="1">
          <reference field="4294967294" count="1" selected="0">
            <x v="0"/>
          </reference>
        </references>
      </pivotArea>
    </chartFormat>
    <chartFormat chart="13" format="0" series="1">
      <pivotArea type="data" outline="0" fieldPosition="0">
        <references count="1">
          <reference field="4294967294" count="1" selected="0">
            <x v="0"/>
          </reference>
        </references>
      </pivotArea>
    </chartFormat>
    <chartFormat chart="13" format="1">
      <pivotArea type="data" outline="0" fieldPosition="0">
        <references count="2">
          <reference field="4294967294" count="1" selected="0">
            <x v="0"/>
          </reference>
          <reference field="4" count="1" selected="0">
            <x v="1"/>
          </reference>
        </references>
      </pivotArea>
    </chartFormat>
    <chartFormat chart="13" format="2">
      <pivotArea type="data" outline="0" fieldPosition="0">
        <references count="2">
          <reference field="4294967294" count="1" selected="0">
            <x v="0"/>
          </reference>
          <reference field="4" count="1" selected="0">
            <x v="0"/>
          </reference>
        </references>
      </pivotArea>
    </chartFormat>
    <chartFormat chart="13" format="3">
      <pivotArea type="data" outline="0" fieldPosition="0">
        <references count="2">
          <reference field="4294967294" count="1" selected="0">
            <x v="0"/>
          </reference>
          <reference field="4" count="1" selected="0">
            <x v="2"/>
          </reference>
        </references>
      </pivotArea>
    </chartFormat>
    <chartFormat chart="13" format="4">
      <pivotArea type="data" outline="0" fieldPosition="0">
        <references count="2">
          <reference field="4294967294" count="1" selected="0">
            <x v="0"/>
          </reference>
          <reference field="4" count="1" selected="0">
            <x v="3"/>
          </reference>
        </references>
      </pivotArea>
    </chartFormat>
    <chartFormat chart="13" format="5">
      <pivotArea type="data" outline="0" fieldPosition="0">
        <references count="2">
          <reference field="4294967294" count="1" selected="0">
            <x v="0"/>
          </reference>
          <reference field="4" count="1" selected="0">
            <x v="4"/>
          </reference>
        </references>
      </pivotArea>
    </chartFormat>
    <chartFormat chart="13" format="6">
      <pivotArea type="data" outline="0" fieldPosition="0">
        <references count="2">
          <reference field="4294967294" count="1" selected="0">
            <x v="0"/>
          </reference>
          <reference field="4" count="1" selected="0">
            <x v="5"/>
          </reference>
        </references>
      </pivotArea>
    </chartFormat>
    <chartFormat chart="18" format="14" series="1">
      <pivotArea type="data" outline="0" fieldPosition="0">
        <references count="1">
          <reference field="4294967294" count="1" selected="0">
            <x v="0"/>
          </reference>
        </references>
      </pivotArea>
    </chartFormat>
    <chartFormat chart="18" format="15">
      <pivotArea type="data" outline="0" fieldPosition="0">
        <references count="2">
          <reference field="4294967294" count="1" selected="0">
            <x v="0"/>
          </reference>
          <reference field="4" count="1" selected="0">
            <x v="0"/>
          </reference>
        </references>
      </pivotArea>
    </chartFormat>
    <chartFormat chart="18" format="16">
      <pivotArea type="data" outline="0" fieldPosition="0">
        <references count="2">
          <reference field="4294967294" count="1" selected="0">
            <x v="0"/>
          </reference>
          <reference field="4" count="1" selected="0">
            <x v="1"/>
          </reference>
        </references>
      </pivotArea>
    </chartFormat>
    <chartFormat chart="18" format="17">
      <pivotArea type="data" outline="0" fieldPosition="0">
        <references count="2">
          <reference field="4294967294" count="1" selected="0">
            <x v="0"/>
          </reference>
          <reference field="4" count="1" selected="0">
            <x v="2"/>
          </reference>
        </references>
      </pivotArea>
    </chartFormat>
    <chartFormat chart="18" format="18">
      <pivotArea type="data" outline="0" fieldPosition="0">
        <references count="2">
          <reference field="4294967294" count="1" selected="0">
            <x v="0"/>
          </reference>
          <reference field="4" count="1" selected="0">
            <x v="3"/>
          </reference>
        </references>
      </pivotArea>
    </chartFormat>
    <chartFormat chart="18" format="19">
      <pivotArea type="data" outline="0" fieldPosition="0">
        <references count="2">
          <reference field="4294967294" count="1" selected="0">
            <x v="0"/>
          </reference>
          <reference field="4" count="1" selected="0">
            <x v="4"/>
          </reference>
        </references>
      </pivotArea>
    </chartFormat>
    <chartFormat chart="18" format="20">
      <pivotArea type="data" outline="0" fieldPosition="0">
        <references count="2">
          <reference field="4294967294" count="1" selected="0">
            <x v="0"/>
          </reference>
          <reference field="4" count="1" selected="0">
            <x v="5"/>
          </reference>
        </references>
      </pivotArea>
    </chartFormat>
  </chartFormats>
  <pivotTableStyleInfo name="PivotStyleLight16" showRowHeaders="1" showColHeaders="1" showRowStripes="0" showColStripes="0" showLastColumn="1"/>
  <filters count="1">
    <filter fld="10" type="dateBetween" evalOrder="-1" id="70" name="Last Updated">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D1A1B0-673B-4B02-80C5-F8466525BD1E}" name="PivotTable6" cacheId="1" applyNumberFormats="0" applyBorderFormats="0" applyFontFormats="0" applyPatternFormats="0" applyAlignmentFormats="0" applyWidthHeightFormats="1" dataCaption="Values" updatedVersion="8" minRefreshableVersion="5" useAutoFormatting="1" itemPrintTitles="1" createdVersion="8" indent="0" compact="0" outline="1" outlineData="1" compactData="0" multipleFieldFilters="0" chartFormat="18">
  <location ref="A15:B26" firstHeaderRow="1" firstDataRow="1" firstDataCol="1"/>
  <pivotFields count="12">
    <pivotField compact="0" showAll="0"/>
    <pivotField compact="0" showAll="0"/>
    <pivotField axis="axisRow" compact="0" showAll="0">
      <items count="11">
        <item x="4"/>
        <item x="0"/>
        <item x="7"/>
        <item x="9"/>
        <item x="8"/>
        <item x="5"/>
        <item x="1"/>
        <item x="3"/>
        <item x="2"/>
        <item x="6"/>
        <item t="default"/>
      </items>
    </pivotField>
    <pivotField compact="0" showAll="0"/>
    <pivotField compact="0" showAll="0"/>
    <pivotField compact="0" numFmtId="4" showAll="0"/>
    <pivotField compact="0" numFmtId="1" showAll="0"/>
    <pivotField compact="0" numFmtId="2" showAll="0"/>
    <pivotField dataField="1" compact="0" numFmtId="165" showAll="0"/>
    <pivotField compact="0" showAll="0"/>
    <pivotField compact="0" numFmtId="14" showAll="0">
      <items count="245">
        <item x="26"/>
        <item x="93"/>
        <item x="44"/>
        <item x="19"/>
        <item x="113"/>
        <item x="18"/>
        <item x="5"/>
        <item x="58"/>
        <item x="99"/>
        <item x="65"/>
        <item x="11"/>
        <item x="102"/>
        <item x="22"/>
        <item x="28"/>
        <item x="57"/>
        <item x="46"/>
        <item x="98"/>
        <item x="68"/>
        <item x="109"/>
        <item x="41"/>
        <item x="36"/>
        <item x="25"/>
        <item x="79"/>
        <item x="50"/>
        <item x="74"/>
        <item x="20"/>
        <item x="45"/>
        <item x="39"/>
        <item x="32"/>
        <item x="34"/>
        <item x="83"/>
        <item x="108"/>
        <item x="0"/>
        <item x="33"/>
        <item x="71"/>
        <item x="100"/>
        <item x="60"/>
        <item x="67"/>
        <item x="69"/>
        <item x="94"/>
        <item x="87"/>
        <item x="81"/>
        <item x="24"/>
        <item x="51"/>
        <item x="86"/>
        <item x="66"/>
        <item x="10"/>
        <item x="115"/>
        <item x="38"/>
        <item x="6"/>
        <item x="105"/>
        <item x="90"/>
        <item x="85"/>
        <item x="42"/>
        <item x="77"/>
        <item x="53"/>
        <item x="21"/>
        <item x="27"/>
        <item x="111"/>
        <item x="48"/>
        <item x="54"/>
        <item x="59"/>
        <item x="62"/>
        <item x="23"/>
        <item x="97"/>
        <item x="3"/>
        <item x="106"/>
        <item x="78"/>
        <item x="82"/>
        <item x="96"/>
        <item x="114"/>
        <item x="64"/>
        <item x="43"/>
        <item x="14"/>
        <item x="75"/>
        <item x="80"/>
        <item x="8"/>
        <item x="30"/>
        <item x="4"/>
        <item x="12"/>
        <item x="73"/>
        <item x="107"/>
        <item x="104"/>
        <item x="2"/>
        <item x="112"/>
        <item x="91"/>
        <item x="103"/>
        <item x="15"/>
        <item x="7"/>
        <item x="110"/>
        <item x="61"/>
        <item x="35"/>
        <item x="70"/>
        <item x="47"/>
        <item x="95"/>
        <item x="16"/>
        <item x="52"/>
        <item x="101"/>
        <item x="49"/>
        <item x="31"/>
        <item x="72"/>
        <item x="40"/>
        <item x="88"/>
        <item x="89"/>
        <item x="17"/>
        <item x="1"/>
        <item x="92"/>
        <item x="63"/>
        <item x="37"/>
        <item x="29"/>
        <item x="76"/>
        <item x="55"/>
        <item x="9"/>
        <item x="13"/>
        <item x="84"/>
        <item x="56"/>
        <item x="177"/>
        <item x="152"/>
        <item x="201"/>
        <item x="167"/>
        <item x="139"/>
        <item x="212"/>
        <item x="208"/>
        <item x="221"/>
        <item x="149"/>
        <item x="151"/>
        <item x="159"/>
        <item x="175"/>
        <item x="158"/>
        <item x="215"/>
        <item x="225"/>
        <item x="180"/>
        <item x="209"/>
        <item x="131"/>
        <item x="183"/>
        <item x="123"/>
        <item x="133"/>
        <item x="118"/>
        <item x="120"/>
        <item x="147"/>
        <item x="224"/>
        <item x="205"/>
        <item x="161"/>
        <item x="206"/>
        <item x="127"/>
        <item x="165"/>
        <item x="170"/>
        <item x="213"/>
        <item x="195"/>
        <item x="135"/>
        <item x="163"/>
        <item x="218"/>
        <item x="164"/>
        <item x="176"/>
        <item x="186"/>
        <item x="143"/>
        <item x="230"/>
        <item x="129"/>
        <item x="210"/>
        <item x="200"/>
        <item x="216"/>
        <item x="211"/>
        <item x="173"/>
        <item x="150"/>
        <item x="203"/>
        <item x="198"/>
        <item x="242"/>
        <item x="145"/>
        <item x="202"/>
        <item x="227"/>
        <item x="171"/>
        <item x="124"/>
        <item x="189"/>
        <item x="240"/>
        <item x="185"/>
        <item x="239"/>
        <item x="222"/>
        <item x="233"/>
        <item x="181"/>
        <item x="174"/>
        <item x="241"/>
        <item x="179"/>
        <item x="144"/>
        <item x="188"/>
        <item x="184"/>
        <item x="236"/>
        <item x="132"/>
        <item x="207"/>
        <item x="130"/>
        <item x="125"/>
        <item x="141"/>
        <item x="146"/>
        <item x="231"/>
        <item x="138"/>
        <item x="169"/>
        <item x="217"/>
        <item x="153"/>
        <item x="187"/>
        <item x="182"/>
        <item x="219"/>
        <item x="119"/>
        <item x="122"/>
        <item x="162"/>
        <item x="137"/>
        <item x="235"/>
        <item x="155"/>
        <item x="229"/>
        <item x="223"/>
        <item x="156"/>
        <item x="166"/>
        <item x="232"/>
        <item x="116"/>
        <item x="168"/>
        <item x="194"/>
        <item x="128"/>
        <item x="142"/>
        <item x="191"/>
        <item x="234"/>
        <item x="197"/>
        <item x="192"/>
        <item x="148"/>
        <item x="154"/>
        <item x="160"/>
        <item x="204"/>
        <item x="238"/>
        <item x="126"/>
        <item x="243"/>
        <item x="134"/>
        <item x="190"/>
        <item x="237"/>
        <item x="140"/>
        <item x="193"/>
        <item x="228"/>
        <item x="214"/>
        <item x="117"/>
        <item x="121"/>
        <item x="196"/>
        <item x="136"/>
        <item x="172"/>
        <item x="226"/>
        <item x="178"/>
        <item x="157"/>
        <item x="199"/>
        <item x="220"/>
        <item t="default"/>
      </items>
    </pivotField>
    <pivotField compact="0" showAll="0" sortType="descending">
      <items count="5">
        <item x="2"/>
        <item x="0"/>
        <item x="1"/>
        <item x="3"/>
        <item t="default"/>
      </items>
      <autoSortScope>
        <pivotArea dataOnly="0" outline="0" fieldPosition="0">
          <references count="1">
            <reference field="4294967294" count="1" selected="0">
              <x v="0"/>
            </reference>
          </references>
        </pivotArea>
      </autoSortScope>
    </pivotField>
  </pivotFields>
  <rowFields count="1">
    <field x="2"/>
  </rowFields>
  <rowItems count="11">
    <i>
      <x/>
    </i>
    <i>
      <x v="1"/>
    </i>
    <i>
      <x v="2"/>
    </i>
    <i>
      <x v="3"/>
    </i>
    <i>
      <x v="4"/>
    </i>
    <i>
      <x v="5"/>
    </i>
    <i>
      <x v="6"/>
    </i>
    <i>
      <x v="7"/>
    </i>
    <i>
      <x v="8"/>
    </i>
    <i>
      <x v="9"/>
    </i>
    <i t="grand">
      <x/>
    </i>
  </rowItems>
  <colItems count="1">
    <i/>
  </colItems>
  <dataFields count="1">
    <dataField name="Sum of Total Sales(₹)" fld="8" baseField="0" baseItem="0" numFmtId="165"/>
  </dataFields>
  <chartFormats count="3">
    <chartFormat chart="1" format="0" series="1">
      <pivotArea type="data" outline="0" fieldPosition="0">
        <references count="1">
          <reference field="4294967294" count="1" selected="0">
            <x v="0"/>
          </reference>
        </references>
      </pivotArea>
    </chartFormat>
    <chartFormat chart="14"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0" type="dateBetween" evalOrder="-1" id="70" name="Last Updated">
      <autoFilter ref="A1">
        <filterColumn colId="0">
          <customFilters and="1">
            <customFilter operator="greaterThanOrEqual" val="45292"/>
            <customFilter operator="lessThanOrEqual" val="45657"/>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EEA645D-9EEE-47FE-9057-ED5C1816F1C9}" sourceName="Region">
  <pivotTables>
    <pivotTable tabId="20" name="PivotTable5"/>
    <pivotTable tabId="20" name="PivotTable6"/>
    <pivotTable tabId="20" name="PivotTable9"/>
    <pivotTable tabId="20" name="PivotTable7"/>
  </pivotTables>
  <data>
    <tabular pivotCacheId="454059852">
      <items count="4">
        <i x="2" s="1"/>
        <i x="0" s="1"/>
        <i x="1"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B7E38479-92F4-4891-8A60-A44DFB8D439B}" cache="Slicer_Region" caption="Region"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5F5A684-5B92-4049-B383-BA26C3398B85}" name="Table2" displayName="Table2" ref="A1:L302" totalsRowShown="0" headerRowDxfId="16" dataDxfId="14" headerRowBorderDxfId="15" tableBorderDxfId="13" totalsRowBorderDxfId="12">
  <autoFilter ref="A1:L302" xr:uid="{E5F5A684-5B92-4049-B383-BA26C3398B85}"/>
  <tableColumns count="12">
    <tableColumn id="1" xr3:uid="{1F27C976-FE81-470F-A5A9-479075F4334C}" name="Item ID" dataDxfId="11"/>
    <tableColumn id="2" xr3:uid="{136CA123-7AF4-4CEF-9B2B-22E88F4F8791}" name="Product Name" dataDxfId="10"/>
    <tableColumn id="3" xr3:uid="{27BE3768-4AC3-4221-B4E1-A5C81DB3229C}" name="Category" dataDxfId="9"/>
    <tableColumn id="4" xr3:uid="{8AE065FA-5F09-4B67-96DF-25CE17508EC5}" name="Supplier" dataDxfId="8"/>
    <tableColumn id="5" xr3:uid="{EC32AE25-ACCA-4B03-8D5B-305A9500920C}" name="Warehouse" dataDxfId="7"/>
    <tableColumn id="6" xr3:uid="{445921D4-3BEA-4040-9A7F-DA7E25EA5EBF}" name="Unit Price (₹)" dataDxfId="6"/>
    <tableColumn id="7" xr3:uid="{4135FDD8-3A44-4DBD-9082-E98BC1A593E9}" name="Quantity" dataDxfId="5">
      <calculatedColumnFormula>MOD(ROW()-2,4)+1</calculatedColumnFormula>
    </tableColumn>
    <tableColumn id="8" xr3:uid="{B499F192-60BB-4FD4-B93C-90101AA8A7D1}" name="Reorder Level" dataDxfId="4"/>
    <tableColumn id="9" xr3:uid="{F3AECFC2-E4FF-45CB-90FA-D2041C168B03}" name="Total Sales(₹)" dataDxfId="3">
      <calculatedColumnFormula>F2*G2</calculatedColumnFormula>
    </tableColumn>
    <tableColumn id="10" xr3:uid="{7B7D14F7-B934-43BF-A716-623E539A69F9}" name="Status" dataDxfId="2"/>
    <tableColumn id="11" xr3:uid="{30C4BD7C-C0CA-44BF-842E-00DD6C3EEE28}" name="Last Updated" dataDxfId="1">
      <calculatedColumnFormula>IF(ROW()&lt;=151,DATE(2024,RANDBETWEEN(1,12),RANDBETWEEN(1,28)),DATE(2025,RANDBETWEEN(1,12),RANDBETWEEN(1,28)))</calculatedColumnFormula>
    </tableColumn>
    <tableColumn id="12" xr3:uid="{7C6C9260-C205-4746-A41B-D6BCB8C82E5D}" name="Region" dataDxfId="0">
      <calculatedColumnFormula>CHOOSE(MOD(ROW()-2,4)+1,"North","South","East","West")</calculatedColumnFormula>
    </tableColumn>
  </tableColumns>
  <tableStyleInfo showFirstColumn="0" showLastColumn="0" showRowStripes="1" showColumnStripes="0"/>
</table>
</file>

<file path=xl/theme/theme1.xml><?xml version="1.0" encoding="utf-8"?>
<a:theme xmlns:a="http://schemas.openxmlformats.org/drawingml/2006/main" name="Facet">
  <a:themeElements>
    <a:clrScheme name="Facet">
      <a:dk1>
        <a:sysClr val="windowText" lastClr="000000"/>
      </a:dk1>
      <a:lt1>
        <a:sysClr val="window" lastClr="FFFFFF"/>
      </a:lt1>
      <a:dk2>
        <a:srgbClr val="2C3C43"/>
      </a:dk2>
      <a:lt2>
        <a:srgbClr val="EBEBEB"/>
      </a:lt2>
      <a:accent1>
        <a:srgbClr val="90C226"/>
      </a:accent1>
      <a:accent2>
        <a:srgbClr val="54A021"/>
      </a:accent2>
      <a:accent3>
        <a:srgbClr val="E6B91E"/>
      </a:accent3>
      <a:accent4>
        <a:srgbClr val="E76618"/>
      </a:accent4>
      <a:accent5>
        <a:srgbClr val="C42F1A"/>
      </a:accent5>
      <a:accent6>
        <a:srgbClr val="918655"/>
      </a:accent6>
      <a:hlink>
        <a:srgbClr val="99CA3C"/>
      </a:hlink>
      <a:folHlink>
        <a:srgbClr val="B9D181"/>
      </a:folHlink>
    </a:clrScheme>
    <a:fontScheme name="Facet">
      <a:majorFont>
        <a:latin typeface="Trebuchet MS" panose="020B0603020202020204"/>
        <a:ea typeface=""/>
        <a:cs typeface=""/>
        <a:font script="Jpan" typeface="メイリオ"/>
        <a:font script="Hang" typeface="맑은 고딕"/>
        <a:font script="Hans" typeface="方正姚体"/>
        <a:font script="Hant" typeface="微軟正黑體"/>
        <a:font script="Arab" typeface="Tahoma"/>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Trebuchet MS" panose="020B0603020202020204"/>
        <a:ea typeface=""/>
        <a:cs typeface=""/>
        <a:font script="Jpan" typeface="メイリオ"/>
        <a:font script="Hang" typeface="HY그래픽M"/>
        <a:font script="Hans" typeface="华文新魏"/>
        <a:font script="Hant" typeface="微軟正黑體"/>
        <a:font script="Arab" typeface="Tahoma"/>
        <a:font script="Hebr" typeface="Gisha"/>
        <a:font script="Thai" typeface="Iris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Facet">
      <a:fillStyleLst>
        <a:solidFill>
          <a:schemeClr val="phClr"/>
        </a:solidFill>
        <a:gradFill rotWithShape="1">
          <a:gsLst>
            <a:gs pos="0">
              <a:schemeClr val="phClr">
                <a:tint val="65000"/>
                <a:lumMod val="110000"/>
              </a:schemeClr>
            </a:gs>
            <a:gs pos="88000">
              <a:schemeClr val="phClr">
                <a:tint val="90000"/>
              </a:schemeClr>
            </a:gs>
          </a:gsLst>
          <a:lin ang="5400000" scaled="0"/>
        </a:gradFill>
        <a:gradFill rotWithShape="1">
          <a:gsLst>
            <a:gs pos="0">
              <a:schemeClr val="phClr">
                <a:tint val="96000"/>
                <a:lumMod val="100000"/>
              </a:schemeClr>
            </a:gs>
            <a:gs pos="78000">
              <a:schemeClr val="phClr">
                <a:shade val="94000"/>
                <a:lumMod val="94000"/>
              </a:schemeClr>
            </a:gs>
          </a:gsLst>
          <a:lin ang="5400000" scaled="0"/>
        </a:gradFill>
      </a:fillStyleLst>
      <a:lnStyleLst>
        <a:ln w="12700" cap="rnd" cmpd="sng" algn="ctr">
          <a:solidFill>
            <a:schemeClr val="phClr"/>
          </a:solidFill>
          <a:prstDash val="solid"/>
        </a:ln>
        <a:ln w="19050" cap="rnd" cmpd="sng" algn="ctr">
          <a:solidFill>
            <a:schemeClr val="phClr"/>
          </a:solidFill>
          <a:prstDash val="solid"/>
        </a:ln>
        <a:ln w="25400" cap="rnd" cmpd="sng" algn="ctr">
          <a:solidFill>
            <a:schemeClr val="phClr"/>
          </a:solidFill>
          <a:prstDash val="solid"/>
        </a:ln>
      </a:lnStyleLst>
      <a:effectStyleLst>
        <a:effectStyle>
          <a:effectLst/>
        </a:effectStyle>
        <a:effectStyle>
          <a:effectLst>
            <a:outerShdw blurRad="38100" dist="25400" dir="5400000" rotWithShape="0">
              <a:srgbClr val="000000">
                <a:alpha val="35000"/>
              </a:srgbClr>
            </a:outerShdw>
          </a:effectLst>
        </a:effectStyle>
        <a:effectStyle>
          <a:effectLst>
            <a:outerShdw blurRad="50800" dist="38100" dir="5400000" rotWithShape="0">
              <a:srgbClr val="000000">
                <a:alpha val="35000"/>
              </a:srgbClr>
            </a:outerShdw>
          </a:effectLst>
          <a:scene3d>
            <a:camera prst="orthographicFront">
              <a:rot lat="0" lon="0" rev="0"/>
            </a:camera>
            <a:lightRig rig="threePt" dir="tl"/>
          </a:scene3d>
          <a:sp3d prstMaterial="plastic">
            <a:bevelT w="0" h="0"/>
          </a:sp3d>
        </a:effectStyle>
      </a:effectStyleLst>
      <a:bgFillStyleLst>
        <a:solidFill>
          <a:schemeClr val="phClr"/>
        </a:solidFill>
        <a:gradFill rotWithShape="1">
          <a:gsLst>
            <a:gs pos="0">
              <a:schemeClr val="phClr">
                <a:tint val="90000"/>
                <a:lumMod val="104000"/>
              </a:schemeClr>
            </a:gs>
            <a:gs pos="94000">
              <a:schemeClr val="phClr">
                <a:shade val="96000"/>
                <a:lumMod val="82000"/>
              </a:schemeClr>
            </a:gs>
          </a:gsLst>
          <a:lin ang="5400000" scaled="0"/>
        </a:gradFill>
        <a:gradFill rotWithShape="1">
          <a:gsLst>
            <a:gs pos="0">
              <a:schemeClr val="phClr">
                <a:tint val="90000"/>
                <a:lumMod val="110000"/>
              </a:schemeClr>
            </a:gs>
            <a:gs pos="100000">
              <a:schemeClr val="phClr">
                <a:shade val="94000"/>
                <a:lumMod val="96000"/>
              </a:schemeClr>
            </a:gs>
          </a:gsLst>
          <a:path path="circle">
            <a:fillToRect l="50000" t="50000" r="100000" b="100000"/>
          </a:path>
        </a:gradFill>
      </a:bgFillStyleLst>
    </a:fmtScheme>
  </a:themeElements>
  <a:objectDefaults/>
  <a:extraClrSchemeLst/>
  <a:extLst>
    <a:ext uri="{05A4C25C-085E-4340-85A3-A5531E510DB2}">
      <thm15:themeFamily xmlns:thm15="http://schemas.microsoft.com/office/thememl/2012/main" name="Facet" id="{C0C680CD-088A-49FC-A102-D699147F32B2}" vid="{CFBC31BA-B70F-4F30-BCAA-4F3011E16C4D}"/>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Last_Updated" xr10:uid="{E3A9F77A-3A22-4BFC-A324-C5F209F65476}" sourceName="Last Updated">
  <pivotTables>
    <pivotTable tabId="20" name="PivotTable5"/>
    <pivotTable tabId="20" name="PivotTable6"/>
    <pivotTable tabId="20" name="PivotTable7"/>
    <pivotTable tabId="20" name="PivotTable9"/>
  </pivotTables>
  <state minimalRefreshVersion="6" lastRefreshVersion="6" pivotCacheId="454059852" filterType="dateBetween">
    <selection startDate="2024-01-01T00:00:00" endDate="2024-12-31T00:00:00"/>
    <bounds startDate="2024-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Last Updated" xr10:uid="{B553A422-D870-4E25-9D8E-2C39C7A03B08}" cache="NativeTimeline_Last_Updated" caption="Last Updated" level="1" selectionLevel="0" scrollPosition="2024-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004"/>
  <sheetViews>
    <sheetView zoomScale="74" zoomScaleNormal="82" workbookViewId="0">
      <selection activeCell="Q9" sqref="Q9"/>
    </sheetView>
  </sheetViews>
  <sheetFormatPr defaultColWidth="8.7265625" defaultRowHeight="14.5" x14ac:dyDescent="0.35"/>
  <cols>
    <col min="1" max="1" width="15.26953125" customWidth="1"/>
    <col min="2" max="2" width="21.7265625" customWidth="1"/>
    <col min="3" max="3" width="18.54296875" customWidth="1"/>
    <col min="4" max="4" width="15.54296875" customWidth="1"/>
    <col min="5" max="5" width="18.54296875" customWidth="1"/>
    <col min="6" max="6" width="19.26953125" customWidth="1"/>
    <col min="7" max="7" width="16.54296875" style="34" customWidth="1"/>
    <col min="8" max="8" width="23.453125" style="35" customWidth="1"/>
    <col min="9" max="9" width="22.7265625" style="36" customWidth="1"/>
    <col min="10" max="10" width="13" customWidth="1"/>
    <col min="11" max="11" width="19.7265625" style="37" customWidth="1"/>
    <col min="12" max="12" width="13.81640625" style="42" customWidth="1"/>
  </cols>
  <sheetData>
    <row r="1" spans="1:12" ht="15.5" x14ac:dyDescent="0.35">
      <c r="A1" s="46" t="s">
        <v>0</v>
      </c>
      <c r="B1" s="47" t="s">
        <v>1</v>
      </c>
      <c r="C1" s="47" t="s">
        <v>2</v>
      </c>
      <c r="D1" s="47" t="s">
        <v>3</v>
      </c>
      <c r="E1" s="47" t="s">
        <v>4</v>
      </c>
      <c r="F1" s="47" t="s">
        <v>5</v>
      </c>
      <c r="G1" s="47" t="s">
        <v>6</v>
      </c>
      <c r="H1" s="47" t="s">
        <v>7</v>
      </c>
      <c r="I1" s="47" t="s">
        <v>8</v>
      </c>
      <c r="J1" s="47" t="s">
        <v>9</v>
      </c>
      <c r="K1" s="47" t="s">
        <v>10</v>
      </c>
      <c r="L1" s="48" t="s">
        <v>11</v>
      </c>
    </row>
    <row r="2" spans="1:12" ht="15.75" customHeight="1" x14ac:dyDescent="0.35">
      <c r="A2" s="43" t="s">
        <v>12</v>
      </c>
      <c r="B2" s="25" t="s">
        <v>13</v>
      </c>
      <c r="C2" s="25" t="s">
        <v>14</v>
      </c>
      <c r="D2" s="25" t="s">
        <v>15</v>
      </c>
      <c r="E2" s="25" t="s">
        <v>16</v>
      </c>
      <c r="F2" s="26">
        <v>1129.05</v>
      </c>
      <c r="G2" s="31">
        <f>MOD(ROW()-2,4)+1</f>
        <v>1</v>
      </c>
      <c r="H2" s="29">
        <v>54</v>
      </c>
      <c r="I2" s="32">
        <f>F2*G2</f>
        <v>1129.05</v>
      </c>
      <c r="J2" s="38" t="s">
        <v>17</v>
      </c>
      <c r="K2" s="33">
        <f ca="1">IF(ROW()&lt;=151,DATE(2024,RANDBETWEEN(1,12),RANDBETWEEN(1,28)),DATE(2025,RANDBETWEEN(1,12),RANDBETWEEN(1,28)))</f>
        <v>45580</v>
      </c>
      <c r="L2" s="45" t="str">
        <f>CHOOSE(MOD(ROW()-2,4)+1,"North","South","East","West")</f>
        <v>North</v>
      </c>
    </row>
    <row r="3" spans="1:12" x14ac:dyDescent="0.35">
      <c r="A3" s="44" t="s">
        <v>18</v>
      </c>
      <c r="B3" s="27" t="s">
        <v>19</v>
      </c>
      <c r="C3" s="27" t="s">
        <v>20</v>
      </c>
      <c r="D3" s="27" t="s">
        <v>21</v>
      </c>
      <c r="E3" s="27" t="s">
        <v>22</v>
      </c>
      <c r="F3" s="28">
        <v>1686.65</v>
      </c>
      <c r="G3" s="31">
        <f t="shared" ref="G3:G66" si="0">MOD(ROW()-2,4)+1</f>
        <v>2</v>
      </c>
      <c r="H3" s="30">
        <v>61</v>
      </c>
      <c r="I3" s="32">
        <f t="shared" ref="I3:I66" si="1">F3*G3</f>
        <v>3373.3</v>
      </c>
      <c r="J3" s="39" t="s">
        <v>23</v>
      </c>
      <c r="K3" s="33">
        <f t="shared" ref="K3:K66" ca="1" si="2">IF(ROW()&lt;=151,DATE(2024,RANDBETWEEN(1,12),RANDBETWEEN(1,28)),DATE(2025,RANDBETWEEN(1,12),RANDBETWEEN(1,28)))</f>
        <v>45568</v>
      </c>
      <c r="L3" s="45" t="str">
        <f t="shared" ref="L3:L66" si="3">CHOOSE(MOD(ROW()-2,4)+1,"North","South","East","West")</f>
        <v>South</v>
      </c>
    </row>
    <row r="4" spans="1:12" ht="15" customHeight="1" x14ac:dyDescent="0.35">
      <c r="A4" s="43" t="s">
        <v>24</v>
      </c>
      <c r="B4" s="25" t="s">
        <v>25</v>
      </c>
      <c r="C4" s="25" t="s">
        <v>26</v>
      </c>
      <c r="D4" s="25" t="s">
        <v>27</v>
      </c>
      <c r="E4" s="25" t="s">
        <v>28</v>
      </c>
      <c r="F4" s="26">
        <v>2067.48</v>
      </c>
      <c r="G4" s="31">
        <f t="shared" si="0"/>
        <v>3</v>
      </c>
      <c r="H4" s="29">
        <v>18</v>
      </c>
      <c r="I4" s="32">
        <f t="shared" si="1"/>
        <v>6202.4400000000005</v>
      </c>
      <c r="J4" s="40" t="s">
        <v>29</v>
      </c>
      <c r="K4" s="33">
        <f t="shared" ca="1" si="2"/>
        <v>45314</v>
      </c>
      <c r="L4" s="45" t="str">
        <f t="shared" si="3"/>
        <v>East</v>
      </c>
    </row>
    <row r="5" spans="1:12" ht="15" customHeight="1" x14ac:dyDescent="0.35">
      <c r="A5" s="44" t="s">
        <v>30</v>
      </c>
      <c r="B5" s="27" t="s">
        <v>31</v>
      </c>
      <c r="C5" s="27" t="s">
        <v>32</v>
      </c>
      <c r="D5" s="27" t="s">
        <v>33</v>
      </c>
      <c r="E5" s="27" t="s">
        <v>16</v>
      </c>
      <c r="F5" s="28">
        <v>2977</v>
      </c>
      <c r="G5" s="31">
        <f t="shared" si="0"/>
        <v>4</v>
      </c>
      <c r="H5" s="30">
        <v>13</v>
      </c>
      <c r="I5" s="32">
        <f t="shared" si="1"/>
        <v>11908</v>
      </c>
      <c r="J5" s="38" t="s">
        <v>17</v>
      </c>
      <c r="K5" s="33">
        <f t="shared" ca="1" si="2"/>
        <v>45632</v>
      </c>
      <c r="L5" s="45" t="str">
        <f t="shared" si="3"/>
        <v>West</v>
      </c>
    </row>
    <row r="6" spans="1:12" ht="15" customHeight="1" x14ac:dyDescent="0.35">
      <c r="A6" s="43" t="s">
        <v>34</v>
      </c>
      <c r="B6" s="25" t="s">
        <v>35</v>
      </c>
      <c r="C6" s="25" t="s">
        <v>14</v>
      </c>
      <c r="D6" s="25" t="s">
        <v>21</v>
      </c>
      <c r="E6" s="25" t="s">
        <v>28</v>
      </c>
      <c r="F6" s="26">
        <v>4253.96</v>
      </c>
      <c r="G6" s="31">
        <f t="shared" si="0"/>
        <v>1</v>
      </c>
      <c r="H6" s="29">
        <v>92</v>
      </c>
      <c r="I6" s="32">
        <f t="shared" si="1"/>
        <v>4253.96</v>
      </c>
      <c r="J6" s="38" t="s">
        <v>17</v>
      </c>
      <c r="K6" s="33">
        <f t="shared" ca="1" si="2"/>
        <v>45578</v>
      </c>
      <c r="L6" s="45" t="str">
        <f t="shared" si="3"/>
        <v>North</v>
      </c>
    </row>
    <row r="7" spans="1:12" ht="15" customHeight="1" x14ac:dyDescent="0.35">
      <c r="A7" s="44" t="s">
        <v>36</v>
      </c>
      <c r="B7" s="27" t="s">
        <v>37</v>
      </c>
      <c r="C7" s="27" t="s">
        <v>38</v>
      </c>
      <c r="D7" s="27" t="s">
        <v>15</v>
      </c>
      <c r="E7" s="27" t="s">
        <v>28</v>
      </c>
      <c r="F7" s="28">
        <v>1278.48</v>
      </c>
      <c r="G7" s="31">
        <f t="shared" si="0"/>
        <v>2</v>
      </c>
      <c r="H7" s="30">
        <v>37</v>
      </c>
      <c r="I7" s="32">
        <f t="shared" si="1"/>
        <v>2556.96</v>
      </c>
      <c r="J7" s="38" t="s">
        <v>17</v>
      </c>
      <c r="K7" s="33">
        <f t="shared" ca="1" si="2"/>
        <v>45332</v>
      </c>
      <c r="L7" s="45" t="str">
        <f t="shared" si="3"/>
        <v>South</v>
      </c>
    </row>
    <row r="8" spans="1:12" ht="15" customHeight="1" x14ac:dyDescent="0.35">
      <c r="A8" s="43" t="s">
        <v>39</v>
      </c>
      <c r="B8" s="25" t="s">
        <v>40</v>
      </c>
      <c r="C8" s="25" t="s">
        <v>41</v>
      </c>
      <c r="D8" s="25" t="s">
        <v>42</v>
      </c>
      <c r="E8" s="25" t="s">
        <v>43</v>
      </c>
      <c r="F8" s="26">
        <v>2359.7399999999998</v>
      </c>
      <c r="G8" s="31">
        <f t="shared" si="0"/>
        <v>3</v>
      </c>
      <c r="H8" s="29">
        <v>99</v>
      </c>
      <c r="I8" s="32">
        <f t="shared" si="1"/>
        <v>7079.2199999999993</v>
      </c>
      <c r="J8" s="39" t="s">
        <v>23</v>
      </c>
      <c r="K8" s="33">
        <f t="shared" ca="1" si="2"/>
        <v>45613</v>
      </c>
      <c r="L8" s="45" t="str">
        <f t="shared" si="3"/>
        <v>East</v>
      </c>
    </row>
    <row r="9" spans="1:12" ht="15" customHeight="1" x14ac:dyDescent="0.35">
      <c r="A9" s="44" t="s">
        <v>44</v>
      </c>
      <c r="B9" s="27" t="s">
        <v>45</v>
      </c>
      <c r="C9" s="27" t="s">
        <v>14</v>
      </c>
      <c r="D9" s="27" t="s">
        <v>33</v>
      </c>
      <c r="E9" s="27" t="s">
        <v>43</v>
      </c>
      <c r="F9" s="28">
        <v>3760.15</v>
      </c>
      <c r="G9" s="31">
        <f t="shared" si="0"/>
        <v>4</v>
      </c>
      <c r="H9" s="30">
        <v>98</v>
      </c>
      <c r="I9" s="32">
        <f t="shared" si="1"/>
        <v>15040.6</v>
      </c>
      <c r="J9" s="38" t="s">
        <v>17</v>
      </c>
      <c r="K9" s="33">
        <f t="shared" ca="1" si="2"/>
        <v>45598</v>
      </c>
      <c r="L9" s="45" t="str">
        <f t="shared" si="3"/>
        <v>West</v>
      </c>
    </row>
    <row r="10" spans="1:12" ht="15" customHeight="1" x14ac:dyDescent="0.35">
      <c r="A10" s="43" t="s">
        <v>46</v>
      </c>
      <c r="B10" s="25" t="s">
        <v>47</v>
      </c>
      <c r="C10" s="25" t="s">
        <v>26</v>
      </c>
      <c r="D10" s="25" t="s">
        <v>48</v>
      </c>
      <c r="E10" s="25" t="s">
        <v>28</v>
      </c>
      <c r="F10" s="26">
        <v>446.05</v>
      </c>
      <c r="G10" s="31">
        <f t="shared" si="0"/>
        <v>1</v>
      </c>
      <c r="H10" s="29">
        <v>54</v>
      </c>
      <c r="I10" s="32">
        <f t="shared" si="1"/>
        <v>446.05</v>
      </c>
      <c r="J10" s="38" t="s">
        <v>17</v>
      </c>
      <c r="K10" s="33">
        <f t="shared" ca="1" si="2"/>
        <v>45501</v>
      </c>
      <c r="L10" s="45" t="str">
        <f t="shared" si="3"/>
        <v>North</v>
      </c>
    </row>
    <row r="11" spans="1:12" ht="15" customHeight="1" x14ac:dyDescent="0.35">
      <c r="A11" s="44" t="s">
        <v>49</v>
      </c>
      <c r="B11" s="27" t="s">
        <v>50</v>
      </c>
      <c r="C11" s="27" t="s">
        <v>32</v>
      </c>
      <c r="D11" s="27" t="s">
        <v>51</v>
      </c>
      <c r="E11" s="27" t="s">
        <v>43</v>
      </c>
      <c r="F11" s="28">
        <v>2569.34</v>
      </c>
      <c r="G11" s="31">
        <f t="shared" si="0"/>
        <v>2</v>
      </c>
      <c r="H11" s="30">
        <v>57</v>
      </c>
      <c r="I11" s="32">
        <f t="shared" si="1"/>
        <v>5138.68</v>
      </c>
      <c r="J11" s="38" t="s">
        <v>17</v>
      </c>
      <c r="K11" s="33">
        <f t="shared" ca="1" si="2"/>
        <v>45540</v>
      </c>
      <c r="L11" s="45" t="str">
        <f t="shared" si="3"/>
        <v>South</v>
      </c>
    </row>
    <row r="12" spans="1:12" ht="15" customHeight="1" x14ac:dyDescent="0.35">
      <c r="A12" s="43" t="s">
        <v>52</v>
      </c>
      <c r="B12" s="25" t="s">
        <v>53</v>
      </c>
      <c r="C12" s="25" t="s">
        <v>20</v>
      </c>
      <c r="D12" s="25" t="s">
        <v>33</v>
      </c>
      <c r="E12" s="25" t="s">
        <v>28</v>
      </c>
      <c r="F12" s="26">
        <v>730.45</v>
      </c>
      <c r="G12" s="31">
        <f t="shared" si="0"/>
        <v>3</v>
      </c>
      <c r="H12" s="29">
        <v>50</v>
      </c>
      <c r="I12" s="32">
        <f t="shared" si="1"/>
        <v>2191.3500000000004</v>
      </c>
      <c r="J12" s="39" t="s">
        <v>23</v>
      </c>
      <c r="K12" s="33">
        <f t="shared" ca="1" si="2"/>
        <v>45622</v>
      </c>
      <c r="L12" s="45" t="str">
        <f t="shared" si="3"/>
        <v>East</v>
      </c>
    </row>
    <row r="13" spans="1:12" ht="15" customHeight="1" x14ac:dyDescent="0.35">
      <c r="A13" s="44" t="s">
        <v>54</v>
      </c>
      <c r="B13" s="27" t="s">
        <v>55</v>
      </c>
      <c r="C13" s="27" t="s">
        <v>26</v>
      </c>
      <c r="D13" s="27" t="s">
        <v>42</v>
      </c>
      <c r="E13" s="27" t="s">
        <v>28</v>
      </c>
      <c r="F13" s="28">
        <v>2700.35</v>
      </c>
      <c r="G13" s="31">
        <f t="shared" si="0"/>
        <v>4</v>
      </c>
      <c r="H13" s="30">
        <v>36</v>
      </c>
      <c r="I13" s="32">
        <f t="shared" si="1"/>
        <v>10801.4</v>
      </c>
      <c r="J13" s="38" t="s">
        <v>17</v>
      </c>
      <c r="K13" s="33">
        <f t="shared" ca="1" si="2"/>
        <v>45433</v>
      </c>
      <c r="L13" s="45" t="str">
        <f t="shared" si="3"/>
        <v>West</v>
      </c>
    </row>
    <row r="14" spans="1:12" ht="15" customHeight="1" x14ac:dyDescent="0.35">
      <c r="A14" s="43" t="s">
        <v>56</v>
      </c>
      <c r="B14" s="25" t="s">
        <v>57</v>
      </c>
      <c r="C14" s="25" t="s">
        <v>26</v>
      </c>
      <c r="D14" s="25" t="s">
        <v>15</v>
      </c>
      <c r="E14" s="25" t="s">
        <v>28</v>
      </c>
      <c r="F14" s="26">
        <v>3841.44</v>
      </c>
      <c r="G14" s="31">
        <f t="shared" si="0"/>
        <v>1</v>
      </c>
      <c r="H14" s="29">
        <v>29</v>
      </c>
      <c r="I14" s="32">
        <f t="shared" si="1"/>
        <v>3841.44</v>
      </c>
      <c r="J14" s="38" t="s">
        <v>17</v>
      </c>
      <c r="K14" s="33">
        <f t="shared" ca="1" si="2"/>
        <v>45454</v>
      </c>
      <c r="L14" s="45" t="str">
        <f t="shared" si="3"/>
        <v>North</v>
      </c>
    </row>
    <row r="15" spans="1:12" ht="15" customHeight="1" x14ac:dyDescent="0.35">
      <c r="A15" s="44" t="s">
        <v>58</v>
      </c>
      <c r="B15" s="27" t="s">
        <v>59</v>
      </c>
      <c r="C15" s="27" t="s">
        <v>41</v>
      </c>
      <c r="D15" s="27" t="s">
        <v>27</v>
      </c>
      <c r="E15" s="27" t="s">
        <v>22</v>
      </c>
      <c r="F15" s="28">
        <v>1192.3699999999999</v>
      </c>
      <c r="G15" s="31">
        <f t="shared" si="0"/>
        <v>2</v>
      </c>
      <c r="H15" s="30">
        <v>40</v>
      </c>
      <c r="I15" s="32">
        <f t="shared" si="1"/>
        <v>2384.7399999999998</v>
      </c>
      <c r="J15" s="39" t="s">
        <v>23</v>
      </c>
      <c r="K15" s="33">
        <f t="shared" ca="1" si="2"/>
        <v>45621</v>
      </c>
      <c r="L15" s="45" t="str">
        <f t="shared" si="3"/>
        <v>South</v>
      </c>
    </row>
    <row r="16" spans="1:12" ht="15" customHeight="1" x14ac:dyDescent="0.35">
      <c r="A16" s="43" t="s">
        <v>60</v>
      </c>
      <c r="B16" s="25" t="s">
        <v>61</v>
      </c>
      <c r="C16" s="25" t="s">
        <v>62</v>
      </c>
      <c r="D16" s="25" t="s">
        <v>42</v>
      </c>
      <c r="E16" s="25" t="s">
        <v>43</v>
      </c>
      <c r="F16" s="26">
        <v>4248.8999999999996</v>
      </c>
      <c r="G16" s="31">
        <f t="shared" si="0"/>
        <v>3</v>
      </c>
      <c r="H16" s="29">
        <v>21</v>
      </c>
      <c r="I16" s="32">
        <f t="shared" si="1"/>
        <v>12746.699999999999</v>
      </c>
      <c r="J16" s="38" t="s">
        <v>17</v>
      </c>
      <c r="K16" s="33">
        <f t="shared" ca="1" si="2"/>
        <v>45425</v>
      </c>
      <c r="L16" s="45" t="str">
        <f t="shared" si="3"/>
        <v>East</v>
      </c>
    </row>
    <row r="17" spans="1:12" ht="15" customHeight="1" x14ac:dyDescent="0.35">
      <c r="A17" s="44" t="s">
        <v>63</v>
      </c>
      <c r="B17" s="27" t="s">
        <v>64</v>
      </c>
      <c r="C17" s="27" t="s">
        <v>32</v>
      </c>
      <c r="D17" s="27" t="s">
        <v>27</v>
      </c>
      <c r="E17" s="27" t="s">
        <v>22</v>
      </c>
      <c r="F17" s="28">
        <v>1680.67</v>
      </c>
      <c r="G17" s="31">
        <f t="shared" si="0"/>
        <v>4</v>
      </c>
      <c r="H17" s="30">
        <v>98</v>
      </c>
      <c r="I17" s="32">
        <f t="shared" si="1"/>
        <v>6722.68</v>
      </c>
      <c r="J17" s="38" t="s">
        <v>17</v>
      </c>
      <c r="K17" s="33">
        <f t="shared" ca="1" si="2"/>
        <v>45645</v>
      </c>
      <c r="L17" s="45" t="str">
        <f t="shared" si="3"/>
        <v>West</v>
      </c>
    </row>
    <row r="18" spans="1:12" ht="15" customHeight="1" x14ac:dyDescent="0.35">
      <c r="A18" s="43" t="s">
        <v>65</v>
      </c>
      <c r="B18" s="25" t="s">
        <v>66</v>
      </c>
      <c r="C18" s="25" t="s">
        <v>67</v>
      </c>
      <c r="D18" s="25" t="s">
        <v>33</v>
      </c>
      <c r="E18" s="25" t="s">
        <v>43</v>
      </c>
      <c r="F18" s="26">
        <v>962.02</v>
      </c>
      <c r="G18" s="31">
        <f t="shared" si="0"/>
        <v>1</v>
      </c>
      <c r="H18" s="29">
        <v>63</v>
      </c>
      <c r="I18" s="32">
        <f t="shared" si="1"/>
        <v>962.02</v>
      </c>
      <c r="J18" s="39" t="s">
        <v>23</v>
      </c>
      <c r="K18" s="33">
        <f t="shared" ca="1" si="2"/>
        <v>45524</v>
      </c>
      <c r="L18" s="45" t="str">
        <f t="shared" si="3"/>
        <v>North</v>
      </c>
    </row>
    <row r="19" spans="1:12" ht="15" customHeight="1" x14ac:dyDescent="0.35">
      <c r="A19" s="44" t="s">
        <v>68</v>
      </c>
      <c r="B19" s="27" t="s">
        <v>69</v>
      </c>
      <c r="C19" s="27" t="s">
        <v>26</v>
      </c>
      <c r="D19" s="27" t="s">
        <v>15</v>
      </c>
      <c r="E19" s="27" t="s">
        <v>43</v>
      </c>
      <c r="F19" s="28">
        <v>2331.96</v>
      </c>
      <c r="G19" s="31">
        <f t="shared" si="0"/>
        <v>2</v>
      </c>
      <c r="H19" s="30">
        <v>99</v>
      </c>
      <c r="I19" s="32">
        <f t="shared" si="1"/>
        <v>4663.92</v>
      </c>
      <c r="J19" s="40" t="s">
        <v>29</v>
      </c>
      <c r="K19" s="33">
        <f t="shared" ca="1" si="2"/>
        <v>45332</v>
      </c>
      <c r="L19" s="45" t="str">
        <f t="shared" si="3"/>
        <v>South</v>
      </c>
    </row>
    <row r="20" spans="1:12" ht="15" customHeight="1" x14ac:dyDescent="0.35">
      <c r="A20" s="43" t="s">
        <v>70</v>
      </c>
      <c r="B20" s="25" t="s">
        <v>71</v>
      </c>
      <c r="C20" s="25" t="s">
        <v>62</v>
      </c>
      <c r="D20" s="25" t="s">
        <v>72</v>
      </c>
      <c r="E20" s="25" t="s">
        <v>22</v>
      </c>
      <c r="F20" s="26">
        <v>4381.6099999999997</v>
      </c>
      <c r="G20" s="31">
        <f t="shared" si="0"/>
        <v>3</v>
      </c>
      <c r="H20" s="29">
        <v>58</v>
      </c>
      <c r="I20" s="32">
        <f t="shared" si="1"/>
        <v>13144.829999999998</v>
      </c>
      <c r="J20" s="40" t="s">
        <v>29</v>
      </c>
      <c r="K20" s="33">
        <f t="shared" ca="1" si="2"/>
        <v>45567</v>
      </c>
      <c r="L20" s="45" t="str">
        <f t="shared" si="3"/>
        <v>East</v>
      </c>
    </row>
    <row r="21" spans="1:12" ht="15" customHeight="1" x14ac:dyDescent="0.35">
      <c r="A21" s="44" t="s">
        <v>73</v>
      </c>
      <c r="B21" s="27" t="s">
        <v>74</v>
      </c>
      <c r="C21" s="27" t="s">
        <v>67</v>
      </c>
      <c r="D21" s="27" t="s">
        <v>42</v>
      </c>
      <c r="E21" s="27" t="s">
        <v>22</v>
      </c>
      <c r="F21" s="28">
        <v>353.98</v>
      </c>
      <c r="G21" s="31">
        <f t="shared" si="0"/>
        <v>4</v>
      </c>
      <c r="H21" s="30">
        <v>49</v>
      </c>
      <c r="I21" s="32">
        <f t="shared" si="1"/>
        <v>1415.92</v>
      </c>
      <c r="J21" s="38" t="s">
        <v>17</v>
      </c>
      <c r="K21" s="33">
        <f t="shared" ca="1" si="2"/>
        <v>45415</v>
      </c>
      <c r="L21" s="45" t="str">
        <f t="shared" si="3"/>
        <v>West</v>
      </c>
    </row>
    <row r="22" spans="1:12" ht="15" customHeight="1" x14ac:dyDescent="0.35">
      <c r="A22" s="43" t="s">
        <v>75</v>
      </c>
      <c r="B22" s="25" t="s">
        <v>76</v>
      </c>
      <c r="C22" s="25" t="s">
        <v>32</v>
      </c>
      <c r="D22" s="25" t="s">
        <v>72</v>
      </c>
      <c r="E22" s="25" t="s">
        <v>22</v>
      </c>
      <c r="F22" s="26">
        <v>1644.58</v>
      </c>
      <c r="G22" s="31">
        <f t="shared" si="0"/>
        <v>1</v>
      </c>
      <c r="H22" s="29">
        <v>57</v>
      </c>
      <c r="I22" s="32">
        <f t="shared" si="1"/>
        <v>1644.58</v>
      </c>
      <c r="J22" s="41" t="s">
        <v>77</v>
      </c>
      <c r="K22" s="33">
        <f t="shared" ca="1" si="2"/>
        <v>45567</v>
      </c>
      <c r="L22" s="45" t="str">
        <f t="shared" si="3"/>
        <v>North</v>
      </c>
    </row>
    <row r="23" spans="1:12" ht="15" customHeight="1" x14ac:dyDescent="0.35">
      <c r="A23" s="44" t="s">
        <v>78</v>
      </c>
      <c r="B23" s="27" t="s">
        <v>79</v>
      </c>
      <c r="C23" s="27" t="s">
        <v>80</v>
      </c>
      <c r="D23" s="27" t="s">
        <v>33</v>
      </c>
      <c r="E23" s="27" t="s">
        <v>22</v>
      </c>
      <c r="F23" s="28">
        <v>3269.28</v>
      </c>
      <c r="G23" s="31">
        <f t="shared" si="0"/>
        <v>2</v>
      </c>
      <c r="H23" s="30">
        <v>54</v>
      </c>
      <c r="I23" s="32">
        <f t="shared" si="1"/>
        <v>6538.56</v>
      </c>
      <c r="J23" s="38" t="s">
        <v>17</v>
      </c>
      <c r="K23" s="33">
        <f t="shared" ca="1" si="2"/>
        <v>45592</v>
      </c>
      <c r="L23" s="45" t="str">
        <f t="shared" si="3"/>
        <v>South</v>
      </c>
    </row>
    <row r="24" spans="1:12" ht="15" customHeight="1" x14ac:dyDescent="0.35">
      <c r="A24" s="43" t="s">
        <v>81</v>
      </c>
      <c r="B24" s="25" t="s">
        <v>82</v>
      </c>
      <c r="C24" s="25" t="s">
        <v>38</v>
      </c>
      <c r="D24" s="25" t="s">
        <v>51</v>
      </c>
      <c r="E24" s="25" t="s">
        <v>22</v>
      </c>
      <c r="F24" s="26">
        <v>1794.33</v>
      </c>
      <c r="G24" s="31">
        <f t="shared" si="0"/>
        <v>3</v>
      </c>
      <c r="H24" s="29">
        <v>46</v>
      </c>
      <c r="I24" s="32">
        <f t="shared" si="1"/>
        <v>5382.99</v>
      </c>
      <c r="J24" s="40" t="s">
        <v>29</v>
      </c>
      <c r="K24" s="33">
        <f t="shared" ca="1" si="2"/>
        <v>45566</v>
      </c>
      <c r="L24" s="45" t="str">
        <f t="shared" si="3"/>
        <v>East</v>
      </c>
    </row>
    <row r="25" spans="1:12" ht="15" customHeight="1" x14ac:dyDescent="0.35">
      <c r="A25" s="44" t="s">
        <v>83</v>
      </c>
      <c r="B25" s="27" t="s">
        <v>84</v>
      </c>
      <c r="C25" s="27" t="s">
        <v>62</v>
      </c>
      <c r="D25" s="27" t="s">
        <v>51</v>
      </c>
      <c r="E25" s="27" t="s">
        <v>22</v>
      </c>
      <c r="F25" s="28">
        <v>363.41</v>
      </c>
      <c r="G25" s="31">
        <f t="shared" si="0"/>
        <v>4</v>
      </c>
      <c r="H25" s="30">
        <v>99</v>
      </c>
      <c r="I25" s="32">
        <f t="shared" si="1"/>
        <v>1453.64</v>
      </c>
      <c r="J25" s="39" t="s">
        <v>23</v>
      </c>
      <c r="K25" s="33">
        <f t="shared" ca="1" si="2"/>
        <v>45464</v>
      </c>
      <c r="L25" s="45" t="str">
        <f t="shared" si="3"/>
        <v>West</v>
      </c>
    </row>
    <row r="26" spans="1:12" ht="15" customHeight="1" x14ac:dyDescent="0.35">
      <c r="A26" s="43" t="s">
        <v>85</v>
      </c>
      <c r="B26" s="25" t="s">
        <v>86</v>
      </c>
      <c r="C26" s="25" t="s">
        <v>87</v>
      </c>
      <c r="D26" s="25" t="s">
        <v>48</v>
      </c>
      <c r="E26" s="25" t="s">
        <v>88</v>
      </c>
      <c r="F26" s="26">
        <v>1666.67</v>
      </c>
      <c r="G26" s="31">
        <f t="shared" si="0"/>
        <v>1</v>
      </c>
      <c r="H26" s="29">
        <v>36</v>
      </c>
      <c r="I26" s="32">
        <f t="shared" si="1"/>
        <v>1666.67</v>
      </c>
      <c r="J26" s="38" t="s">
        <v>17</v>
      </c>
      <c r="K26" s="33">
        <f t="shared" ca="1" si="2"/>
        <v>45345</v>
      </c>
      <c r="L26" s="45" t="str">
        <f t="shared" si="3"/>
        <v>North</v>
      </c>
    </row>
    <row r="27" spans="1:12" ht="15" customHeight="1" x14ac:dyDescent="0.35">
      <c r="A27" s="44" t="s">
        <v>89</v>
      </c>
      <c r="B27" s="27" t="s">
        <v>90</v>
      </c>
      <c r="C27" s="27" t="s">
        <v>80</v>
      </c>
      <c r="D27" s="27" t="s">
        <v>27</v>
      </c>
      <c r="E27" s="27" t="s">
        <v>28</v>
      </c>
      <c r="F27" s="28">
        <v>4106.59</v>
      </c>
      <c r="G27" s="31">
        <f t="shared" si="0"/>
        <v>2</v>
      </c>
      <c r="H27" s="30">
        <v>30</v>
      </c>
      <c r="I27" s="32">
        <f t="shared" si="1"/>
        <v>8213.18</v>
      </c>
      <c r="J27" s="41" t="s">
        <v>77</v>
      </c>
      <c r="K27" s="33">
        <f t="shared" ca="1" si="2"/>
        <v>45311</v>
      </c>
      <c r="L27" s="45" t="str">
        <f t="shared" si="3"/>
        <v>South</v>
      </c>
    </row>
    <row r="28" spans="1:12" ht="15" customHeight="1" x14ac:dyDescent="0.35">
      <c r="A28" s="43" t="s">
        <v>91</v>
      </c>
      <c r="B28" s="25" t="s">
        <v>92</v>
      </c>
      <c r="C28" s="25" t="s">
        <v>38</v>
      </c>
      <c r="D28" s="25" t="s">
        <v>72</v>
      </c>
      <c r="E28" s="25" t="s">
        <v>93</v>
      </c>
      <c r="F28" s="26">
        <v>4840.51</v>
      </c>
      <c r="G28" s="31">
        <f t="shared" si="0"/>
        <v>3</v>
      </c>
      <c r="H28" s="29">
        <v>16</v>
      </c>
      <c r="I28" s="32">
        <f t="shared" si="1"/>
        <v>14521.53</v>
      </c>
      <c r="J28" s="39" t="s">
        <v>23</v>
      </c>
      <c r="K28" s="33">
        <f t="shared" ca="1" si="2"/>
        <v>45348</v>
      </c>
      <c r="L28" s="45" t="str">
        <f t="shared" si="3"/>
        <v>East</v>
      </c>
    </row>
    <row r="29" spans="1:12" ht="15" customHeight="1" x14ac:dyDescent="0.35">
      <c r="A29" s="44" t="s">
        <v>94</v>
      </c>
      <c r="B29" s="27" t="s">
        <v>95</v>
      </c>
      <c r="C29" s="27" t="s">
        <v>41</v>
      </c>
      <c r="D29" s="27" t="s">
        <v>42</v>
      </c>
      <c r="E29" s="27" t="s">
        <v>43</v>
      </c>
      <c r="F29" s="28">
        <v>208.5</v>
      </c>
      <c r="G29" s="31">
        <f t="shared" si="0"/>
        <v>4</v>
      </c>
      <c r="H29" s="30">
        <v>41</v>
      </c>
      <c r="I29" s="32">
        <f t="shared" si="1"/>
        <v>834</v>
      </c>
      <c r="J29" s="39" t="s">
        <v>23</v>
      </c>
      <c r="K29" s="33">
        <f t="shared" ca="1" si="2"/>
        <v>45559</v>
      </c>
      <c r="L29" s="45" t="str">
        <f t="shared" si="3"/>
        <v>West</v>
      </c>
    </row>
    <row r="30" spans="1:12" ht="15" customHeight="1" x14ac:dyDescent="0.35">
      <c r="A30" s="43" t="s">
        <v>96</v>
      </c>
      <c r="B30" s="25" t="s">
        <v>97</v>
      </c>
      <c r="C30" s="25" t="s">
        <v>14</v>
      </c>
      <c r="D30" s="25" t="s">
        <v>51</v>
      </c>
      <c r="E30" s="25" t="s">
        <v>16</v>
      </c>
      <c r="F30" s="26">
        <v>2850.73</v>
      </c>
      <c r="G30" s="31">
        <f t="shared" si="0"/>
        <v>1</v>
      </c>
      <c r="H30" s="29">
        <v>79</v>
      </c>
      <c r="I30" s="32">
        <f t="shared" si="1"/>
        <v>2850.73</v>
      </c>
      <c r="J30" s="41" t="s">
        <v>77</v>
      </c>
      <c r="K30" s="33">
        <f t="shared" ca="1" si="2"/>
        <v>45517</v>
      </c>
      <c r="L30" s="45" t="str">
        <f t="shared" si="3"/>
        <v>North</v>
      </c>
    </row>
    <row r="31" spans="1:12" ht="15" customHeight="1" x14ac:dyDescent="0.35">
      <c r="A31" s="44" t="s">
        <v>98</v>
      </c>
      <c r="B31" s="27" t="s">
        <v>99</v>
      </c>
      <c r="C31" s="27" t="s">
        <v>20</v>
      </c>
      <c r="D31" s="27" t="s">
        <v>27</v>
      </c>
      <c r="E31" s="27" t="s">
        <v>22</v>
      </c>
      <c r="F31" s="28">
        <v>535.46</v>
      </c>
      <c r="G31" s="31">
        <f t="shared" si="0"/>
        <v>2</v>
      </c>
      <c r="H31" s="30">
        <v>58</v>
      </c>
      <c r="I31" s="32">
        <f t="shared" si="1"/>
        <v>1070.92</v>
      </c>
      <c r="J31" s="38" t="s">
        <v>17</v>
      </c>
      <c r="K31" s="33">
        <f t="shared" ca="1" si="2"/>
        <v>45294</v>
      </c>
      <c r="L31" s="45" t="str">
        <f t="shared" si="3"/>
        <v>South</v>
      </c>
    </row>
    <row r="32" spans="1:12" ht="15" customHeight="1" x14ac:dyDescent="0.35">
      <c r="A32" s="43" t="s">
        <v>100</v>
      </c>
      <c r="B32" s="25" t="s">
        <v>101</v>
      </c>
      <c r="C32" s="25" t="s">
        <v>87</v>
      </c>
      <c r="D32" s="25" t="s">
        <v>15</v>
      </c>
      <c r="E32" s="25" t="s">
        <v>93</v>
      </c>
      <c r="F32" s="26">
        <v>3405.18</v>
      </c>
      <c r="G32" s="31">
        <f t="shared" si="0"/>
        <v>3</v>
      </c>
      <c r="H32" s="29">
        <v>66</v>
      </c>
      <c r="I32" s="32">
        <f t="shared" si="1"/>
        <v>10215.539999999999</v>
      </c>
      <c r="J32" s="38" t="s">
        <v>17</v>
      </c>
      <c r="K32" s="33">
        <f t="shared" ca="1" si="2"/>
        <v>45357</v>
      </c>
      <c r="L32" s="45" t="str">
        <f t="shared" si="3"/>
        <v>East</v>
      </c>
    </row>
    <row r="33" spans="1:12" ht="15" customHeight="1" x14ac:dyDescent="0.35">
      <c r="A33" s="44" t="s">
        <v>102</v>
      </c>
      <c r="B33" s="27" t="s">
        <v>103</v>
      </c>
      <c r="C33" s="27" t="s">
        <v>41</v>
      </c>
      <c r="D33" s="27" t="s">
        <v>33</v>
      </c>
      <c r="E33" s="27" t="s">
        <v>22</v>
      </c>
      <c r="F33" s="28">
        <v>49.38</v>
      </c>
      <c r="G33" s="31">
        <f t="shared" si="0"/>
        <v>4</v>
      </c>
      <c r="H33" s="30">
        <v>31</v>
      </c>
      <c r="I33" s="32">
        <f t="shared" si="1"/>
        <v>197.52</v>
      </c>
      <c r="J33" s="38" t="s">
        <v>17</v>
      </c>
      <c r="K33" s="33">
        <f t="shared" ca="1" si="2"/>
        <v>45605</v>
      </c>
      <c r="L33" s="45" t="str">
        <f t="shared" si="3"/>
        <v>West</v>
      </c>
    </row>
    <row r="34" spans="1:12" ht="15" customHeight="1" x14ac:dyDescent="0.35">
      <c r="A34" s="43" t="s">
        <v>104</v>
      </c>
      <c r="B34" s="25" t="s">
        <v>105</v>
      </c>
      <c r="C34" s="25" t="s">
        <v>32</v>
      </c>
      <c r="D34" s="25" t="s">
        <v>33</v>
      </c>
      <c r="E34" s="25" t="s">
        <v>28</v>
      </c>
      <c r="F34" s="26">
        <v>83.56</v>
      </c>
      <c r="G34" s="31">
        <f t="shared" si="0"/>
        <v>1</v>
      </c>
      <c r="H34" s="29">
        <v>44</v>
      </c>
      <c r="I34" s="32">
        <f t="shared" si="1"/>
        <v>83.56</v>
      </c>
      <c r="J34" s="38" t="s">
        <v>17</v>
      </c>
      <c r="K34" s="33">
        <f t="shared" ca="1" si="2"/>
        <v>45477</v>
      </c>
      <c r="L34" s="45" t="str">
        <f t="shared" si="3"/>
        <v>North</v>
      </c>
    </row>
    <row r="35" spans="1:12" ht="15" customHeight="1" x14ac:dyDescent="0.35">
      <c r="A35" s="44" t="s">
        <v>106</v>
      </c>
      <c r="B35" s="27" t="s">
        <v>107</v>
      </c>
      <c r="C35" s="27" t="s">
        <v>41</v>
      </c>
      <c r="D35" s="27" t="s">
        <v>27</v>
      </c>
      <c r="E35" s="27" t="s">
        <v>16</v>
      </c>
      <c r="F35" s="28">
        <v>3886.63</v>
      </c>
      <c r="G35" s="31">
        <f t="shared" si="0"/>
        <v>2</v>
      </c>
      <c r="H35" s="30">
        <v>12</v>
      </c>
      <c r="I35" s="32">
        <f t="shared" si="1"/>
        <v>7773.26</v>
      </c>
      <c r="J35" s="38" t="s">
        <v>17</v>
      </c>
      <c r="K35" s="33">
        <f t="shared" ca="1" si="2"/>
        <v>45632</v>
      </c>
      <c r="L35" s="45" t="str">
        <f t="shared" si="3"/>
        <v>South</v>
      </c>
    </row>
    <row r="36" spans="1:12" ht="15" customHeight="1" x14ac:dyDescent="0.35">
      <c r="A36" s="43" t="s">
        <v>108</v>
      </c>
      <c r="B36" s="25" t="s">
        <v>109</v>
      </c>
      <c r="C36" s="25" t="s">
        <v>14</v>
      </c>
      <c r="D36" s="25" t="s">
        <v>27</v>
      </c>
      <c r="E36" s="25" t="s">
        <v>43</v>
      </c>
      <c r="F36" s="26">
        <v>381.43</v>
      </c>
      <c r="G36" s="31">
        <f t="shared" si="0"/>
        <v>3</v>
      </c>
      <c r="H36" s="29">
        <v>31</v>
      </c>
      <c r="I36" s="32">
        <f t="shared" si="1"/>
        <v>1144.29</v>
      </c>
      <c r="J36" s="38" t="s">
        <v>17</v>
      </c>
      <c r="K36" s="33">
        <f t="shared" ca="1" si="2"/>
        <v>45415</v>
      </c>
      <c r="L36" s="45" t="str">
        <f t="shared" si="3"/>
        <v>East</v>
      </c>
    </row>
    <row r="37" spans="1:12" ht="15" customHeight="1" x14ac:dyDescent="0.35">
      <c r="A37" s="44" t="s">
        <v>110</v>
      </c>
      <c r="B37" s="27" t="s">
        <v>111</v>
      </c>
      <c r="C37" s="27" t="s">
        <v>32</v>
      </c>
      <c r="D37" s="27" t="s">
        <v>33</v>
      </c>
      <c r="E37" s="27" t="s">
        <v>16</v>
      </c>
      <c r="F37" s="28">
        <v>1532.86</v>
      </c>
      <c r="G37" s="31">
        <f t="shared" si="0"/>
        <v>4</v>
      </c>
      <c r="H37" s="30">
        <v>89</v>
      </c>
      <c r="I37" s="32">
        <f t="shared" si="1"/>
        <v>6131.44</v>
      </c>
      <c r="J37" s="39" t="s">
        <v>23</v>
      </c>
      <c r="K37" s="33">
        <f t="shared" ca="1" si="2"/>
        <v>45426</v>
      </c>
      <c r="L37" s="45" t="str">
        <f t="shared" si="3"/>
        <v>West</v>
      </c>
    </row>
    <row r="38" spans="1:12" ht="15" customHeight="1" x14ac:dyDescent="0.35">
      <c r="A38" s="43" t="s">
        <v>112</v>
      </c>
      <c r="B38" s="25" t="s">
        <v>113</v>
      </c>
      <c r="C38" s="25" t="s">
        <v>87</v>
      </c>
      <c r="D38" s="25" t="s">
        <v>15</v>
      </c>
      <c r="E38" s="25" t="s">
        <v>28</v>
      </c>
      <c r="F38" s="26">
        <v>4790.62</v>
      </c>
      <c r="G38" s="31">
        <f t="shared" si="0"/>
        <v>1</v>
      </c>
      <c r="H38" s="29">
        <v>48</v>
      </c>
      <c r="I38" s="32">
        <f t="shared" si="1"/>
        <v>4790.62</v>
      </c>
      <c r="J38" s="39" t="s">
        <v>23</v>
      </c>
      <c r="K38" s="33">
        <f t="shared" ca="1" si="2"/>
        <v>45460</v>
      </c>
      <c r="L38" s="45" t="str">
        <f t="shared" si="3"/>
        <v>North</v>
      </c>
    </row>
    <row r="39" spans="1:12" ht="15" customHeight="1" x14ac:dyDescent="0.35">
      <c r="A39" s="44" t="s">
        <v>114</v>
      </c>
      <c r="B39" s="27" t="s">
        <v>115</v>
      </c>
      <c r="C39" s="27" t="s">
        <v>14</v>
      </c>
      <c r="D39" s="27" t="s">
        <v>21</v>
      </c>
      <c r="E39" s="27" t="s">
        <v>43</v>
      </c>
      <c r="F39" s="28">
        <v>4926.38</v>
      </c>
      <c r="G39" s="31">
        <f t="shared" si="0"/>
        <v>2</v>
      </c>
      <c r="H39" s="30">
        <v>29</v>
      </c>
      <c r="I39" s="32">
        <f t="shared" si="1"/>
        <v>9852.76</v>
      </c>
      <c r="J39" s="41" t="s">
        <v>77</v>
      </c>
      <c r="K39" s="33">
        <f t="shared" ca="1" si="2"/>
        <v>45437</v>
      </c>
      <c r="L39" s="45" t="str">
        <f t="shared" si="3"/>
        <v>South</v>
      </c>
    </row>
    <row r="40" spans="1:12" ht="15" customHeight="1" x14ac:dyDescent="0.35">
      <c r="A40" s="43" t="s">
        <v>116</v>
      </c>
      <c r="B40" s="25" t="s">
        <v>117</v>
      </c>
      <c r="C40" s="25" t="s">
        <v>67</v>
      </c>
      <c r="D40" s="25" t="s">
        <v>51</v>
      </c>
      <c r="E40" s="25" t="s">
        <v>16</v>
      </c>
      <c r="F40" s="26">
        <v>815.4</v>
      </c>
      <c r="G40" s="31">
        <f t="shared" si="0"/>
        <v>3</v>
      </c>
      <c r="H40" s="29">
        <v>22</v>
      </c>
      <c r="I40" s="32">
        <f t="shared" si="1"/>
        <v>2446.1999999999998</v>
      </c>
      <c r="J40" s="39" t="s">
        <v>23</v>
      </c>
      <c r="K40" s="33">
        <f t="shared" ca="1" si="2"/>
        <v>45598</v>
      </c>
      <c r="L40" s="45" t="str">
        <f t="shared" si="3"/>
        <v>East</v>
      </c>
    </row>
    <row r="41" spans="1:12" ht="15" customHeight="1" x14ac:dyDescent="0.35">
      <c r="A41" s="44" t="s">
        <v>118</v>
      </c>
      <c r="B41" s="27" t="s">
        <v>119</v>
      </c>
      <c r="C41" s="27" t="s">
        <v>20</v>
      </c>
      <c r="D41" s="27" t="s">
        <v>48</v>
      </c>
      <c r="E41" s="27" t="s">
        <v>88</v>
      </c>
      <c r="F41" s="28">
        <v>2808.9</v>
      </c>
      <c r="G41" s="31">
        <f t="shared" si="0"/>
        <v>4</v>
      </c>
      <c r="H41" s="30">
        <v>48</v>
      </c>
      <c r="I41" s="32">
        <f t="shared" si="1"/>
        <v>11235.6</v>
      </c>
      <c r="J41" s="39" t="s">
        <v>23</v>
      </c>
      <c r="K41" s="33">
        <f t="shared" ca="1" si="2"/>
        <v>45536</v>
      </c>
      <c r="L41" s="45" t="str">
        <f t="shared" si="3"/>
        <v>West</v>
      </c>
    </row>
    <row r="42" spans="1:12" ht="15" customHeight="1" x14ac:dyDescent="0.35">
      <c r="A42" s="43" t="s">
        <v>120</v>
      </c>
      <c r="B42" s="25" t="s">
        <v>121</v>
      </c>
      <c r="C42" s="25" t="s">
        <v>87</v>
      </c>
      <c r="D42" s="25" t="s">
        <v>48</v>
      </c>
      <c r="E42" s="25" t="s">
        <v>88</v>
      </c>
      <c r="F42" s="26">
        <v>2800.15</v>
      </c>
      <c r="G42" s="31">
        <f t="shared" si="0"/>
        <v>1</v>
      </c>
      <c r="H42" s="29">
        <v>76</v>
      </c>
      <c r="I42" s="32">
        <f t="shared" si="1"/>
        <v>2800.15</v>
      </c>
      <c r="J42" s="38" t="s">
        <v>17</v>
      </c>
      <c r="K42" s="33">
        <f t="shared" ca="1" si="2"/>
        <v>45384</v>
      </c>
      <c r="L42" s="45" t="str">
        <f t="shared" si="3"/>
        <v>North</v>
      </c>
    </row>
    <row r="43" spans="1:12" ht="15" customHeight="1" x14ac:dyDescent="0.35">
      <c r="A43" s="44" t="s">
        <v>122</v>
      </c>
      <c r="B43" s="27" t="s">
        <v>123</v>
      </c>
      <c r="C43" s="27" t="s">
        <v>67</v>
      </c>
      <c r="D43" s="27" t="s">
        <v>42</v>
      </c>
      <c r="E43" s="27" t="s">
        <v>93</v>
      </c>
      <c r="F43" s="28">
        <v>2267.38</v>
      </c>
      <c r="G43" s="31">
        <f t="shared" si="0"/>
        <v>2</v>
      </c>
      <c r="H43" s="30">
        <v>60</v>
      </c>
      <c r="I43" s="32">
        <f t="shared" si="1"/>
        <v>4534.76</v>
      </c>
      <c r="J43" s="41" t="s">
        <v>77</v>
      </c>
      <c r="K43" s="33">
        <f t="shared" ca="1" si="2"/>
        <v>45570</v>
      </c>
      <c r="L43" s="45" t="str">
        <f t="shared" si="3"/>
        <v>South</v>
      </c>
    </row>
    <row r="44" spans="1:12" ht="15" customHeight="1" x14ac:dyDescent="0.35">
      <c r="A44" s="43" t="s">
        <v>124</v>
      </c>
      <c r="B44" s="25" t="s">
        <v>125</v>
      </c>
      <c r="C44" s="25" t="s">
        <v>38</v>
      </c>
      <c r="D44" s="25" t="s">
        <v>33</v>
      </c>
      <c r="E44" s="25" t="s">
        <v>22</v>
      </c>
      <c r="F44" s="26">
        <v>4624.25</v>
      </c>
      <c r="G44" s="31">
        <f t="shared" si="0"/>
        <v>3</v>
      </c>
      <c r="H44" s="29">
        <v>73</v>
      </c>
      <c r="I44" s="32">
        <f t="shared" si="1"/>
        <v>13872.75</v>
      </c>
      <c r="J44" s="38" t="s">
        <v>17</v>
      </c>
      <c r="K44" s="33">
        <f t="shared" ca="1" si="2"/>
        <v>45464</v>
      </c>
      <c r="L44" s="45" t="str">
        <f t="shared" si="3"/>
        <v>East</v>
      </c>
    </row>
    <row r="45" spans="1:12" ht="15" customHeight="1" x14ac:dyDescent="0.35">
      <c r="A45" s="44" t="s">
        <v>126</v>
      </c>
      <c r="B45" s="27" t="s">
        <v>127</v>
      </c>
      <c r="C45" s="27" t="s">
        <v>87</v>
      </c>
      <c r="D45" s="27" t="s">
        <v>42</v>
      </c>
      <c r="E45" s="27" t="s">
        <v>88</v>
      </c>
      <c r="F45" s="28">
        <v>3772.63</v>
      </c>
      <c r="G45" s="31">
        <f t="shared" si="0"/>
        <v>4</v>
      </c>
      <c r="H45" s="30">
        <v>54</v>
      </c>
      <c r="I45" s="32">
        <f t="shared" si="1"/>
        <v>15090.52</v>
      </c>
      <c r="J45" s="38" t="s">
        <v>17</v>
      </c>
      <c r="K45" s="33">
        <f t="shared" ca="1" si="2"/>
        <v>45422</v>
      </c>
      <c r="L45" s="45" t="str">
        <f t="shared" si="3"/>
        <v>West</v>
      </c>
    </row>
    <row r="46" spans="1:12" ht="15" customHeight="1" x14ac:dyDescent="0.35">
      <c r="A46" s="43" t="s">
        <v>128</v>
      </c>
      <c r="B46" s="25" t="s">
        <v>129</v>
      </c>
      <c r="C46" s="25" t="s">
        <v>38</v>
      </c>
      <c r="D46" s="25" t="s">
        <v>72</v>
      </c>
      <c r="E46" s="25" t="s">
        <v>22</v>
      </c>
      <c r="F46" s="26">
        <v>3824.99</v>
      </c>
      <c r="G46" s="31">
        <f t="shared" si="0"/>
        <v>1</v>
      </c>
      <c r="H46" s="29">
        <v>29</v>
      </c>
      <c r="I46" s="32">
        <f t="shared" si="1"/>
        <v>3824.99</v>
      </c>
      <c r="J46" s="39" t="s">
        <v>23</v>
      </c>
      <c r="K46" s="33">
        <f t="shared" ca="1" si="2"/>
        <v>45572</v>
      </c>
      <c r="L46" s="45" t="str">
        <f t="shared" si="3"/>
        <v>North</v>
      </c>
    </row>
    <row r="47" spans="1:12" ht="15" customHeight="1" x14ac:dyDescent="0.35">
      <c r="A47" s="44" t="s">
        <v>130</v>
      </c>
      <c r="B47" s="27" t="s">
        <v>131</v>
      </c>
      <c r="C47" s="27" t="s">
        <v>32</v>
      </c>
      <c r="D47" s="27" t="s">
        <v>51</v>
      </c>
      <c r="E47" s="27" t="s">
        <v>93</v>
      </c>
      <c r="F47" s="28">
        <v>1355.15</v>
      </c>
      <c r="G47" s="31">
        <f t="shared" si="0"/>
        <v>2</v>
      </c>
      <c r="H47" s="30">
        <v>16</v>
      </c>
      <c r="I47" s="32">
        <f t="shared" si="1"/>
        <v>2710.3</v>
      </c>
      <c r="J47" s="41" t="s">
        <v>77</v>
      </c>
      <c r="K47" s="33">
        <f t="shared" ca="1" si="2"/>
        <v>45619</v>
      </c>
      <c r="L47" s="45" t="str">
        <f t="shared" si="3"/>
        <v>South</v>
      </c>
    </row>
    <row r="48" spans="1:12" ht="15" customHeight="1" x14ac:dyDescent="0.35">
      <c r="A48" s="43" t="s">
        <v>132</v>
      </c>
      <c r="B48" s="25" t="s">
        <v>133</v>
      </c>
      <c r="C48" s="25" t="s">
        <v>67</v>
      </c>
      <c r="D48" s="25" t="s">
        <v>15</v>
      </c>
      <c r="E48" s="25" t="s">
        <v>43</v>
      </c>
      <c r="F48" s="26">
        <v>2177.2600000000002</v>
      </c>
      <c r="G48" s="31">
        <f t="shared" si="0"/>
        <v>3</v>
      </c>
      <c r="H48" s="29">
        <v>78</v>
      </c>
      <c r="I48" s="32">
        <f t="shared" si="1"/>
        <v>6531.7800000000007</v>
      </c>
      <c r="J48" s="39" t="s">
        <v>23</v>
      </c>
      <c r="K48" s="33">
        <f t="shared" ca="1" si="2"/>
        <v>45538</v>
      </c>
      <c r="L48" s="45" t="str">
        <f t="shared" si="3"/>
        <v>East</v>
      </c>
    </row>
    <row r="49" spans="1:12" ht="15" customHeight="1" x14ac:dyDescent="0.35">
      <c r="A49" s="44" t="s">
        <v>134</v>
      </c>
      <c r="B49" s="27" t="s">
        <v>135</v>
      </c>
      <c r="C49" s="27" t="s">
        <v>20</v>
      </c>
      <c r="D49" s="27" t="s">
        <v>15</v>
      </c>
      <c r="E49" s="27" t="s">
        <v>16</v>
      </c>
      <c r="F49" s="28">
        <v>2442.2399999999998</v>
      </c>
      <c r="G49" s="31">
        <f t="shared" si="0"/>
        <v>4</v>
      </c>
      <c r="H49" s="30">
        <v>66</v>
      </c>
      <c r="I49" s="32">
        <f t="shared" si="1"/>
        <v>9768.9599999999991</v>
      </c>
      <c r="J49" s="38" t="s">
        <v>17</v>
      </c>
      <c r="K49" s="33">
        <f t="shared" ca="1" si="2"/>
        <v>45413</v>
      </c>
      <c r="L49" s="45" t="str">
        <f t="shared" si="3"/>
        <v>West</v>
      </c>
    </row>
    <row r="50" spans="1:12" ht="15" customHeight="1" x14ac:dyDescent="0.35">
      <c r="A50" s="43" t="s">
        <v>136</v>
      </c>
      <c r="B50" s="25" t="s">
        <v>137</v>
      </c>
      <c r="C50" s="25" t="s">
        <v>14</v>
      </c>
      <c r="D50" s="25" t="s">
        <v>15</v>
      </c>
      <c r="E50" s="25" t="s">
        <v>28</v>
      </c>
      <c r="F50" s="26">
        <v>1501.57</v>
      </c>
      <c r="G50" s="31">
        <f t="shared" si="0"/>
        <v>1</v>
      </c>
      <c r="H50" s="29">
        <v>58</v>
      </c>
      <c r="I50" s="32">
        <f t="shared" si="1"/>
        <v>1501.57</v>
      </c>
      <c r="J50" s="38" t="s">
        <v>17</v>
      </c>
      <c r="K50" s="33">
        <f t="shared" ca="1" si="2"/>
        <v>45598</v>
      </c>
      <c r="L50" s="45" t="str">
        <f t="shared" si="3"/>
        <v>North</v>
      </c>
    </row>
    <row r="51" spans="1:12" ht="15" customHeight="1" x14ac:dyDescent="0.35">
      <c r="A51" s="44" t="s">
        <v>138</v>
      </c>
      <c r="B51" s="27" t="s">
        <v>139</v>
      </c>
      <c r="C51" s="27" t="s">
        <v>26</v>
      </c>
      <c r="D51" s="27" t="s">
        <v>51</v>
      </c>
      <c r="E51" s="27" t="s">
        <v>43</v>
      </c>
      <c r="F51" s="28">
        <v>483.14</v>
      </c>
      <c r="G51" s="31">
        <f t="shared" si="0"/>
        <v>2</v>
      </c>
      <c r="H51" s="30">
        <v>54</v>
      </c>
      <c r="I51" s="32">
        <f t="shared" si="1"/>
        <v>966.28</v>
      </c>
      <c r="J51" s="38" t="s">
        <v>17</v>
      </c>
      <c r="K51" s="33">
        <f t="shared" ca="1" si="2"/>
        <v>45305</v>
      </c>
      <c r="L51" s="45" t="str">
        <f t="shared" si="3"/>
        <v>South</v>
      </c>
    </row>
    <row r="52" spans="1:12" ht="15" customHeight="1" x14ac:dyDescent="0.35">
      <c r="A52" s="43" t="s">
        <v>140</v>
      </c>
      <c r="B52" s="25" t="s">
        <v>141</v>
      </c>
      <c r="C52" s="25" t="s">
        <v>41</v>
      </c>
      <c r="D52" s="25" t="s">
        <v>15</v>
      </c>
      <c r="E52" s="25" t="s">
        <v>43</v>
      </c>
      <c r="F52" s="26">
        <v>640.53</v>
      </c>
      <c r="G52" s="31">
        <f t="shared" si="0"/>
        <v>3</v>
      </c>
      <c r="H52" s="29">
        <v>53</v>
      </c>
      <c r="I52" s="32">
        <f t="shared" si="1"/>
        <v>1921.59</v>
      </c>
      <c r="J52" s="38" t="s">
        <v>17</v>
      </c>
      <c r="K52" s="33">
        <f t="shared" ca="1" si="2"/>
        <v>45573</v>
      </c>
      <c r="L52" s="45" t="str">
        <f t="shared" si="3"/>
        <v>East</v>
      </c>
    </row>
    <row r="53" spans="1:12" ht="15" customHeight="1" x14ac:dyDescent="0.35">
      <c r="A53" s="44" t="s">
        <v>142</v>
      </c>
      <c r="B53" s="27" t="s">
        <v>143</v>
      </c>
      <c r="C53" s="27" t="s">
        <v>80</v>
      </c>
      <c r="D53" s="27" t="s">
        <v>72</v>
      </c>
      <c r="E53" s="27" t="s">
        <v>22</v>
      </c>
      <c r="F53" s="28">
        <v>911.55</v>
      </c>
      <c r="G53" s="31">
        <f t="shared" si="0"/>
        <v>4</v>
      </c>
      <c r="H53" s="30">
        <v>19</v>
      </c>
      <c r="I53" s="32">
        <f t="shared" si="1"/>
        <v>3646.2</v>
      </c>
      <c r="J53" s="38" t="s">
        <v>17</v>
      </c>
      <c r="K53" s="33">
        <f t="shared" ca="1" si="2"/>
        <v>45464</v>
      </c>
      <c r="L53" s="45" t="str">
        <f t="shared" si="3"/>
        <v>West</v>
      </c>
    </row>
    <row r="54" spans="1:12" ht="15" customHeight="1" x14ac:dyDescent="0.35">
      <c r="A54" s="43" t="s">
        <v>144</v>
      </c>
      <c r="B54" s="25" t="s">
        <v>145</v>
      </c>
      <c r="C54" s="25" t="s">
        <v>20</v>
      </c>
      <c r="D54" s="25" t="s">
        <v>72</v>
      </c>
      <c r="E54" s="25" t="s">
        <v>43</v>
      </c>
      <c r="F54" s="26">
        <v>1026.23</v>
      </c>
      <c r="G54" s="31">
        <f t="shared" si="0"/>
        <v>1</v>
      </c>
      <c r="H54" s="29">
        <v>91</v>
      </c>
      <c r="I54" s="32">
        <f t="shared" si="1"/>
        <v>1026.23</v>
      </c>
      <c r="J54" s="40" t="s">
        <v>29</v>
      </c>
      <c r="K54" s="33">
        <f t="shared" ca="1" si="2"/>
        <v>45517</v>
      </c>
      <c r="L54" s="45" t="str">
        <f t="shared" si="3"/>
        <v>North</v>
      </c>
    </row>
    <row r="55" spans="1:12" ht="15" customHeight="1" x14ac:dyDescent="0.35">
      <c r="A55" s="44" t="s">
        <v>146</v>
      </c>
      <c r="B55" s="27" t="s">
        <v>147</v>
      </c>
      <c r="C55" s="27" t="s">
        <v>67</v>
      </c>
      <c r="D55" s="27" t="s">
        <v>33</v>
      </c>
      <c r="E55" s="27" t="s">
        <v>88</v>
      </c>
      <c r="F55" s="28">
        <v>1218.8900000000001</v>
      </c>
      <c r="G55" s="31">
        <f t="shared" si="0"/>
        <v>2</v>
      </c>
      <c r="H55" s="30">
        <v>16</v>
      </c>
      <c r="I55" s="32">
        <f t="shared" si="1"/>
        <v>2437.7800000000002</v>
      </c>
      <c r="J55" s="38" t="s">
        <v>17</v>
      </c>
      <c r="K55" s="33">
        <f t="shared" ca="1" si="2"/>
        <v>45450</v>
      </c>
      <c r="L55" s="45" t="str">
        <f t="shared" si="3"/>
        <v>South</v>
      </c>
    </row>
    <row r="56" spans="1:12" ht="15" customHeight="1" x14ac:dyDescent="0.35">
      <c r="A56" s="43" t="s">
        <v>148</v>
      </c>
      <c r="B56" s="25" t="s">
        <v>149</v>
      </c>
      <c r="C56" s="25" t="s">
        <v>26</v>
      </c>
      <c r="D56" s="25" t="s">
        <v>27</v>
      </c>
      <c r="E56" s="25" t="s">
        <v>88</v>
      </c>
      <c r="F56" s="26">
        <v>1284.75</v>
      </c>
      <c r="G56" s="31">
        <f t="shared" si="0"/>
        <v>3</v>
      </c>
      <c r="H56" s="29">
        <v>42</v>
      </c>
      <c r="I56" s="32">
        <f t="shared" si="1"/>
        <v>3854.25</v>
      </c>
      <c r="J56" s="38" t="s">
        <v>17</v>
      </c>
      <c r="K56" s="33">
        <f t="shared" ca="1" si="2"/>
        <v>45409</v>
      </c>
      <c r="L56" s="45" t="str">
        <f t="shared" si="3"/>
        <v>East</v>
      </c>
    </row>
    <row r="57" spans="1:12" ht="15" customHeight="1" x14ac:dyDescent="0.35">
      <c r="A57" s="44" t="s">
        <v>150</v>
      </c>
      <c r="B57" s="27" t="s">
        <v>151</v>
      </c>
      <c r="C57" s="27" t="s">
        <v>20</v>
      </c>
      <c r="D57" s="27" t="s">
        <v>51</v>
      </c>
      <c r="E57" s="27" t="s">
        <v>43</v>
      </c>
      <c r="F57" s="28">
        <v>2284.02</v>
      </c>
      <c r="G57" s="31">
        <f t="shared" si="0"/>
        <v>4</v>
      </c>
      <c r="H57" s="30">
        <v>93</v>
      </c>
      <c r="I57" s="32">
        <f t="shared" si="1"/>
        <v>9136.08</v>
      </c>
      <c r="J57" s="38" t="s">
        <v>17</v>
      </c>
      <c r="K57" s="33">
        <f t="shared" ca="1" si="2"/>
        <v>45582</v>
      </c>
      <c r="L57" s="45" t="str">
        <f t="shared" si="3"/>
        <v>West</v>
      </c>
    </row>
    <row r="58" spans="1:12" ht="15" customHeight="1" x14ac:dyDescent="0.35">
      <c r="A58" s="43" t="s">
        <v>152</v>
      </c>
      <c r="B58" s="25" t="s">
        <v>153</v>
      </c>
      <c r="C58" s="25" t="s">
        <v>67</v>
      </c>
      <c r="D58" s="25" t="s">
        <v>51</v>
      </c>
      <c r="E58" s="25" t="s">
        <v>88</v>
      </c>
      <c r="F58" s="26">
        <v>2552.77</v>
      </c>
      <c r="G58" s="31">
        <f t="shared" si="0"/>
        <v>1</v>
      </c>
      <c r="H58" s="29">
        <v>30</v>
      </c>
      <c r="I58" s="32">
        <f t="shared" si="1"/>
        <v>2552.77</v>
      </c>
      <c r="J58" s="39" t="s">
        <v>23</v>
      </c>
      <c r="K58" s="33">
        <f t="shared" ca="1" si="2"/>
        <v>45571</v>
      </c>
      <c r="L58" s="45" t="str">
        <f t="shared" si="3"/>
        <v>North</v>
      </c>
    </row>
    <row r="59" spans="1:12" ht="15" customHeight="1" x14ac:dyDescent="0.35">
      <c r="A59" s="44" t="s">
        <v>154</v>
      </c>
      <c r="B59" s="27" t="s">
        <v>155</v>
      </c>
      <c r="C59" s="27" t="s">
        <v>62</v>
      </c>
      <c r="D59" s="27" t="s">
        <v>21</v>
      </c>
      <c r="E59" s="27" t="s">
        <v>16</v>
      </c>
      <c r="F59" s="28">
        <v>1551.31</v>
      </c>
      <c r="G59" s="31">
        <f t="shared" si="0"/>
        <v>2</v>
      </c>
      <c r="H59" s="30">
        <v>56</v>
      </c>
      <c r="I59" s="32">
        <f t="shared" si="1"/>
        <v>3102.62</v>
      </c>
      <c r="J59" s="38" t="s">
        <v>17</v>
      </c>
      <c r="K59" s="33">
        <f t="shared" ca="1" si="2"/>
        <v>45391</v>
      </c>
      <c r="L59" s="45" t="str">
        <f t="shared" si="3"/>
        <v>South</v>
      </c>
    </row>
    <row r="60" spans="1:12" ht="15" customHeight="1" x14ac:dyDescent="0.35">
      <c r="A60" s="43" t="s">
        <v>156</v>
      </c>
      <c r="B60" s="25" t="s">
        <v>157</v>
      </c>
      <c r="C60" s="25" t="s">
        <v>62</v>
      </c>
      <c r="D60" s="25" t="s">
        <v>33</v>
      </c>
      <c r="E60" s="25" t="s">
        <v>88</v>
      </c>
      <c r="F60" s="26">
        <v>4537.41</v>
      </c>
      <c r="G60" s="31">
        <f t="shared" si="0"/>
        <v>3</v>
      </c>
      <c r="H60" s="29">
        <v>21</v>
      </c>
      <c r="I60" s="32">
        <f t="shared" si="1"/>
        <v>13612.23</v>
      </c>
      <c r="J60" s="39" t="s">
        <v>23</v>
      </c>
      <c r="K60" s="33">
        <f t="shared" ca="1" si="2"/>
        <v>45437</v>
      </c>
      <c r="L60" s="45" t="str">
        <f t="shared" si="3"/>
        <v>East</v>
      </c>
    </row>
    <row r="61" spans="1:12" ht="15" customHeight="1" x14ac:dyDescent="0.35">
      <c r="A61" s="44" t="s">
        <v>158</v>
      </c>
      <c r="B61" s="27" t="s">
        <v>159</v>
      </c>
      <c r="C61" s="27" t="s">
        <v>38</v>
      </c>
      <c r="D61" s="27" t="s">
        <v>21</v>
      </c>
      <c r="E61" s="27" t="s">
        <v>22</v>
      </c>
      <c r="F61" s="28">
        <v>2770.17</v>
      </c>
      <c r="G61" s="31">
        <f t="shared" si="0"/>
        <v>4</v>
      </c>
      <c r="H61" s="30">
        <v>43</v>
      </c>
      <c r="I61" s="32">
        <f t="shared" si="1"/>
        <v>11080.68</v>
      </c>
      <c r="J61" s="38" t="s">
        <v>17</v>
      </c>
      <c r="K61" s="33">
        <f t="shared" ca="1" si="2"/>
        <v>45539</v>
      </c>
      <c r="L61" s="45" t="str">
        <f t="shared" si="3"/>
        <v>West</v>
      </c>
    </row>
    <row r="62" spans="1:12" ht="15" customHeight="1" x14ac:dyDescent="0.35">
      <c r="A62" s="43" t="s">
        <v>160</v>
      </c>
      <c r="B62" s="25" t="s">
        <v>161</v>
      </c>
      <c r="C62" s="25" t="s">
        <v>20</v>
      </c>
      <c r="D62" s="25" t="s">
        <v>33</v>
      </c>
      <c r="E62" s="25" t="s">
        <v>43</v>
      </c>
      <c r="F62" s="26">
        <v>3939.51</v>
      </c>
      <c r="G62" s="31">
        <f t="shared" si="0"/>
        <v>1</v>
      </c>
      <c r="H62" s="29">
        <v>58</v>
      </c>
      <c r="I62" s="32">
        <f t="shared" si="1"/>
        <v>3939.51</v>
      </c>
      <c r="J62" s="38" t="s">
        <v>17</v>
      </c>
      <c r="K62" s="33">
        <f t="shared" ca="1" si="2"/>
        <v>45316</v>
      </c>
      <c r="L62" s="45" t="str">
        <f t="shared" si="3"/>
        <v>North</v>
      </c>
    </row>
    <row r="63" spans="1:12" ht="15" customHeight="1" x14ac:dyDescent="0.35">
      <c r="A63" s="44" t="s">
        <v>162</v>
      </c>
      <c r="B63" s="27" t="s">
        <v>163</v>
      </c>
      <c r="C63" s="27" t="s">
        <v>62</v>
      </c>
      <c r="D63" s="27" t="s">
        <v>33</v>
      </c>
      <c r="E63" s="27" t="s">
        <v>93</v>
      </c>
      <c r="F63" s="28">
        <v>4621.95</v>
      </c>
      <c r="G63" s="31">
        <f t="shared" si="0"/>
        <v>2</v>
      </c>
      <c r="H63" s="30">
        <v>55</v>
      </c>
      <c r="I63" s="32">
        <f t="shared" si="1"/>
        <v>9243.9</v>
      </c>
      <c r="J63" s="38" t="s">
        <v>17</v>
      </c>
      <c r="K63" s="33">
        <f t="shared" ca="1" si="2"/>
        <v>45492</v>
      </c>
      <c r="L63" s="45" t="str">
        <f t="shared" si="3"/>
        <v>South</v>
      </c>
    </row>
    <row r="64" spans="1:12" ht="15" customHeight="1" x14ac:dyDescent="0.35">
      <c r="A64" s="43" t="s">
        <v>164</v>
      </c>
      <c r="B64" s="25" t="s">
        <v>165</v>
      </c>
      <c r="C64" s="25" t="s">
        <v>67</v>
      </c>
      <c r="D64" s="25" t="s">
        <v>21</v>
      </c>
      <c r="E64" s="25" t="s">
        <v>88</v>
      </c>
      <c r="F64" s="26">
        <v>824.04</v>
      </c>
      <c r="G64" s="31">
        <f t="shared" si="0"/>
        <v>3</v>
      </c>
      <c r="H64" s="29">
        <v>71</v>
      </c>
      <c r="I64" s="32">
        <f t="shared" si="1"/>
        <v>2472.12</v>
      </c>
      <c r="J64" s="38" t="s">
        <v>17</v>
      </c>
      <c r="K64" s="33">
        <f t="shared" ca="1" si="2"/>
        <v>45579</v>
      </c>
      <c r="L64" s="45" t="str">
        <f t="shared" si="3"/>
        <v>East</v>
      </c>
    </row>
    <row r="65" spans="1:12" ht="15" customHeight="1" x14ac:dyDescent="0.35">
      <c r="A65" s="44" t="s">
        <v>166</v>
      </c>
      <c r="B65" s="27" t="s">
        <v>167</v>
      </c>
      <c r="C65" s="27" t="s">
        <v>38</v>
      </c>
      <c r="D65" s="27" t="s">
        <v>48</v>
      </c>
      <c r="E65" s="27" t="s">
        <v>88</v>
      </c>
      <c r="F65" s="28">
        <v>2145.09</v>
      </c>
      <c r="G65" s="31">
        <f t="shared" si="0"/>
        <v>4</v>
      </c>
      <c r="H65" s="30">
        <v>25</v>
      </c>
      <c r="I65" s="32">
        <f t="shared" si="1"/>
        <v>8580.36</v>
      </c>
      <c r="J65" s="41" t="s">
        <v>77</v>
      </c>
      <c r="K65" s="33">
        <f t="shared" ca="1" si="2"/>
        <v>45485</v>
      </c>
      <c r="L65" s="45" t="str">
        <f t="shared" si="3"/>
        <v>West</v>
      </c>
    </row>
    <row r="66" spans="1:12" ht="15" customHeight="1" x14ac:dyDescent="0.35">
      <c r="A66" s="43" t="s">
        <v>168</v>
      </c>
      <c r="B66" s="25" t="s">
        <v>169</v>
      </c>
      <c r="C66" s="25" t="s">
        <v>67</v>
      </c>
      <c r="D66" s="25" t="s">
        <v>33</v>
      </c>
      <c r="E66" s="25" t="s">
        <v>28</v>
      </c>
      <c r="F66" s="26">
        <v>2171.7199999999998</v>
      </c>
      <c r="G66" s="31">
        <f t="shared" si="0"/>
        <v>1</v>
      </c>
      <c r="H66" s="29">
        <v>67</v>
      </c>
      <c r="I66" s="32">
        <f t="shared" si="1"/>
        <v>2171.7199999999998</v>
      </c>
      <c r="J66" s="39" t="s">
        <v>23</v>
      </c>
      <c r="K66" s="33">
        <f t="shared" ca="1" si="2"/>
        <v>45622</v>
      </c>
      <c r="L66" s="45" t="str">
        <f t="shared" si="3"/>
        <v>North</v>
      </c>
    </row>
    <row r="67" spans="1:12" ht="15" customHeight="1" x14ac:dyDescent="0.35">
      <c r="A67" s="44" t="s">
        <v>170</v>
      </c>
      <c r="B67" s="27" t="s">
        <v>171</v>
      </c>
      <c r="C67" s="27" t="s">
        <v>38</v>
      </c>
      <c r="D67" s="27" t="s">
        <v>72</v>
      </c>
      <c r="E67" s="27" t="s">
        <v>88</v>
      </c>
      <c r="F67" s="28">
        <v>1778.82</v>
      </c>
      <c r="G67" s="31">
        <f t="shared" ref="G67:G130" si="4">MOD(ROW()-2,4)+1</f>
        <v>2</v>
      </c>
      <c r="H67" s="30">
        <v>55</v>
      </c>
      <c r="I67" s="32">
        <f t="shared" ref="I67:I130" si="5">F67*G67</f>
        <v>3557.64</v>
      </c>
      <c r="J67" s="39" t="s">
        <v>23</v>
      </c>
      <c r="K67" s="33">
        <f t="shared" ref="K67:K130" ca="1" si="6">IF(ROW()&lt;=151,DATE(2024,RANDBETWEEN(1,12),RANDBETWEEN(1,28)),DATE(2025,RANDBETWEEN(1,12),RANDBETWEEN(1,28)))</f>
        <v>45344</v>
      </c>
      <c r="L67" s="45" t="str">
        <f t="shared" ref="L67:L130" si="7">CHOOSE(MOD(ROW()-2,4)+1,"North","South","East","West")</f>
        <v>South</v>
      </c>
    </row>
    <row r="68" spans="1:12" ht="15" customHeight="1" x14ac:dyDescent="0.35">
      <c r="A68" s="43" t="s">
        <v>172</v>
      </c>
      <c r="B68" s="25" t="s">
        <v>173</v>
      </c>
      <c r="C68" s="25" t="s">
        <v>20</v>
      </c>
      <c r="D68" s="25" t="s">
        <v>21</v>
      </c>
      <c r="E68" s="25" t="s">
        <v>16</v>
      </c>
      <c r="F68" s="26">
        <v>54.44</v>
      </c>
      <c r="G68" s="31">
        <f t="shared" si="4"/>
        <v>3</v>
      </c>
      <c r="H68" s="29">
        <v>94</v>
      </c>
      <c r="I68" s="32">
        <f t="shared" si="5"/>
        <v>163.32</v>
      </c>
      <c r="J68" s="38" t="s">
        <v>17</v>
      </c>
      <c r="K68" s="33">
        <f t="shared" ca="1" si="6"/>
        <v>45650</v>
      </c>
      <c r="L68" s="45" t="str">
        <f t="shared" si="7"/>
        <v>East</v>
      </c>
    </row>
    <row r="69" spans="1:12" ht="15" customHeight="1" x14ac:dyDescent="0.35">
      <c r="A69" s="44" t="s">
        <v>174</v>
      </c>
      <c r="B69" s="27" t="s">
        <v>175</v>
      </c>
      <c r="C69" s="27" t="s">
        <v>26</v>
      </c>
      <c r="D69" s="27" t="s">
        <v>72</v>
      </c>
      <c r="E69" s="27" t="s">
        <v>93</v>
      </c>
      <c r="F69" s="28">
        <v>4081.7</v>
      </c>
      <c r="G69" s="31">
        <f t="shared" si="4"/>
        <v>4</v>
      </c>
      <c r="H69" s="30">
        <v>10</v>
      </c>
      <c r="I69" s="32">
        <f t="shared" si="5"/>
        <v>16326.8</v>
      </c>
      <c r="J69" s="41" t="s">
        <v>77</v>
      </c>
      <c r="K69" s="33">
        <f t="shared" ca="1" si="6"/>
        <v>45649</v>
      </c>
      <c r="L69" s="45" t="str">
        <f t="shared" si="7"/>
        <v>West</v>
      </c>
    </row>
    <row r="70" spans="1:12" ht="15" customHeight="1" x14ac:dyDescent="0.35">
      <c r="A70" s="43" t="s">
        <v>176</v>
      </c>
      <c r="B70" s="25" t="s">
        <v>177</v>
      </c>
      <c r="C70" s="25" t="s">
        <v>14</v>
      </c>
      <c r="D70" s="25" t="s">
        <v>33</v>
      </c>
      <c r="E70" s="25" t="s">
        <v>88</v>
      </c>
      <c r="F70" s="26">
        <v>566.67999999999995</v>
      </c>
      <c r="G70" s="31">
        <f t="shared" si="4"/>
        <v>1</v>
      </c>
      <c r="H70" s="29">
        <v>10</v>
      </c>
      <c r="I70" s="32">
        <f t="shared" si="5"/>
        <v>566.67999999999995</v>
      </c>
      <c r="J70" s="38" t="s">
        <v>17</v>
      </c>
      <c r="K70" s="33">
        <f t="shared" ca="1" si="6"/>
        <v>45479</v>
      </c>
      <c r="L70" s="45" t="str">
        <f t="shared" si="7"/>
        <v>North</v>
      </c>
    </row>
    <row r="71" spans="1:12" ht="15" customHeight="1" x14ac:dyDescent="0.35">
      <c r="A71" s="44" t="s">
        <v>178</v>
      </c>
      <c r="B71" s="27" t="s">
        <v>179</v>
      </c>
      <c r="C71" s="27" t="s">
        <v>87</v>
      </c>
      <c r="D71" s="27" t="s">
        <v>42</v>
      </c>
      <c r="E71" s="27" t="s">
        <v>88</v>
      </c>
      <c r="F71" s="28">
        <v>4977.45</v>
      </c>
      <c r="G71" s="31">
        <f t="shared" si="4"/>
        <v>2</v>
      </c>
      <c r="H71" s="30">
        <v>25</v>
      </c>
      <c r="I71" s="32">
        <f t="shared" si="5"/>
        <v>9954.9</v>
      </c>
      <c r="J71" s="41" t="s">
        <v>77</v>
      </c>
      <c r="K71" s="33">
        <f t="shared" ca="1" si="6"/>
        <v>45588</v>
      </c>
      <c r="L71" s="45" t="str">
        <f t="shared" si="7"/>
        <v>South</v>
      </c>
    </row>
    <row r="72" spans="1:12" ht="15" customHeight="1" x14ac:dyDescent="0.35">
      <c r="A72" s="43" t="s">
        <v>180</v>
      </c>
      <c r="B72" s="25" t="s">
        <v>181</v>
      </c>
      <c r="C72" s="25" t="s">
        <v>26</v>
      </c>
      <c r="D72" s="25" t="s">
        <v>21</v>
      </c>
      <c r="E72" s="25" t="s">
        <v>16</v>
      </c>
      <c r="F72" s="26">
        <v>3867.06</v>
      </c>
      <c r="G72" s="31">
        <f t="shared" si="4"/>
        <v>3</v>
      </c>
      <c r="H72" s="29">
        <v>67</v>
      </c>
      <c r="I72" s="32">
        <f t="shared" si="5"/>
        <v>11601.18</v>
      </c>
      <c r="J72" s="39" t="s">
        <v>23</v>
      </c>
      <c r="K72" s="33">
        <f t="shared" ca="1" si="6"/>
        <v>45466</v>
      </c>
      <c r="L72" s="45" t="str">
        <f t="shared" si="7"/>
        <v>East</v>
      </c>
    </row>
    <row r="73" spans="1:12" ht="15" customHeight="1" x14ac:dyDescent="0.35">
      <c r="A73" s="44" t="s">
        <v>182</v>
      </c>
      <c r="B73" s="27" t="s">
        <v>183</v>
      </c>
      <c r="C73" s="27" t="s">
        <v>32</v>
      </c>
      <c r="D73" s="27" t="s">
        <v>15</v>
      </c>
      <c r="E73" s="27" t="s">
        <v>28</v>
      </c>
      <c r="F73" s="28">
        <v>2904.25</v>
      </c>
      <c r="G73" s="31">
        <f t="shared" si="4"/>
        <v>4</v>
      </c>
      <c r="H73" s="30">
        <v>55</v>
      </c>
      <c r="I73" s="32">
        <f t="shared" si="5"/>
        <v>11617</v>
      </c>
      <c r="J73" s="38" t="s">
        <v>17</v>
      </c>
      <c r="K73" s="33">
        <f t="shared" ca="1" si="6"/>
        <v>45620</v>
      </c>
      <c r="L73" s="45" t="str">
        <f t="shared" si="7"/>
        <v>West</v>
      </c>
    </row>
    <row r="74" spans="1:12" ht="15" customHeight="1" x14ac:dyDescent="0.35">
      <c r="A74" s="43" t="s">
        <v>184</v>
      </c>
      <c r="B74" s="25" t="s">
        <v>185</v>
      </c>
      <c r="C74" s="25" t="s">
        <v>67</v>
      </c>
      <c r="D74" s="25" t="s">
        <v>48</v>
      </c>
      <c r="E74" s="25" t="s">
        <v>16</v>
      </c>
      <c r="F74" s="26">
        <v>781.49</v>
      </c>
      <c r="G74" s="31">
        <f t="shared" si="4"/>
        <v>1</v>
      </c>
      <c r="H74" s="29">
        <v>40</v>
      </c>
      <c r="I74" s="32">
        <f t="shared" si="5"/>
        <v>781.49</v>
      </c>
      <c r="J74" s="39" t="s">
        <v>23</v>
      </c>
      <c r="K74" s="33">
        <f t="shared" ca="1" si="6"/>
        <v>45383</v>
      </c>
      <c r="L74" s="45" t="str">
        <f t="shared" si="7"/>
        <v>North</v>
      </c>
    </row>
    <row r="75" spans="1:12" ht="15" customHeight="1" x14ac:dyDescent="0.35">
      <c r="A75" s="44" t="s">
        <v>186</v>
      </c>
      <c r="B75" s="27" t="s">
        <v>187</v>
      </c>
      <c r="C75" s="27" t="s">
        <v>32</v>
      </c>
      <c r="D75" s="27" t="s">
        <v>15</v>
      </c>
      <c r="E75" s="27" t="s">
        <v>88</v>
      </c>
      <c r="F75" s="28">
        <v>2581.81</v>
      </c>
      <c r="G75" s="31">
        <f t="shared" si="4"/>
        <v>2</v>
      </c>
      <c r="H75" s="30">
        <v>94</v>
      </c>
      <c r="I75" s="32">
        <f t="shared" si="5"/>
        <v>5163.62</v>
      </c>
      <c r="J75" s="41" t="s">
        <v>77</v>
      </c>
      <c r="K75" s="33">
        <f t="shared" ca="1" si="6"/>
        <v>45617</v>
      </c>
      <c r="L75" s="45" t="str">
        <f t="shared" si="7"/>
        <v>South</v>
      </c>
    </row>
    <row r="76" spans="1:12" ht="15" customHeight="1" x14ac:dyDescent="0.35">
      <c r="A76" s="43" t="s">
        <v>188</v>
      </c>
      <c r="B76" s="25" t="s">
        <v>189</v>
      </c>
      <c r="C76" s="25" t="s">
        <v>26</v>
      </c>
      <c r="D76" s="25" t="s">
        <v>51</v>
      </c>
      <c r="E76" s="25" t="s">
        <v>88</v>
      </c>
      <c r="F76" s="26">
        <v>1312.93</v>
      </c>
      <c r="G76" s="31">
        <f t="shared" si="4"/>
        <v>3</v>
      </c>
      <c r="H76" s="29">
        <v>95</v>
      </c>
      <c r="I76" s="32">
        <f t="shared" si="5"/>
        <v>3938.79</v>
      </c>
      <c r="J76" s="39" t="s">
        <v>23</v>
      </c>
      <c r="K76" s="33">
        <f t="shared" ca="1" si="6"/>
        <v>45600</v>
      </c>
      <c r="L76" s="45" t="str">
        <f t="shared" si="7"/>
        <v>East</v>
      </c>
    </row>
    <row r="77" spans="1:12" ht="15" customHeight="1" x14ac:dyDescent="0.35">
      <c r="A77" s="44" t="s">
        <v>190</v>
      </c>
      <c r="B77" s="27" t="s">
        <v>191</v>
      </c>
      <c r="C77" s="27" t="s">
        <v>38</v>
      </c>
      <c r="D77" s="27" t="s">
        <v>42</v>
      </c>
      <c r="E77" s="27" t="s">
        <v>88</v>
      </c>
      <c r="F77" s="28">
        <v>1269.0899999999999</v>
      </c>
      <c r="G77" s="31">
        <f t="shared" si="4"/>
        <v>4</v>
      </c>
      <c r="H77" s="30">
        <v>76</v>
      </c>
      <c r="I77" s="32">
        <f t="shared" si="5"/>
        <v>5076.3599999999997</v>
      </c>
      <c r="J77" s="38" t="s">
        <v>17</v>
      </c>
      <c r="K77" s="33">
        <f t="shared" ca="1" si="6"/>
        <v>45584</v>
      </c>
      <c r="L77" s="45" t="str">
        <f t="shared" si="7"/>
        <v>West</v>
      </c>
    </row>
    <row r="78" spans="1:12" ht="15" customHeight="1" x14ac:dyDescent="0.35">
      <c r="A78" s="43" t="s">
        <v>192</v>
      </c>
      <c r="B78" s="25" t="s">
        <v>193</v>
      </c>
      <c r="C78" s="25" t="s">
        <v>87</v>
      </c>
      <c r="D78" s="25" t="s">
        <v>21</v>
      </c>
      <c r="E78" s="25" t="s">
        <v>88</v>
      </c>
      <c r="F78" s="26">
        <v>4149.3500000000004</v>
      </c>
      <c r="G78" s="31">
        <f t="shared" si="4"/>
        <v>1</v>
      </c>
      <c r="H78" s="29">
        <v>45</v>
      </c>
      <c r="I78" s="32">
        <f t="shared" si="5"/>
        <v>4149.3500000000004</v>
      </c>
      <c r="J78" s="40" t="s">
        <v>29</v>
      </c>
      <c r="K78" s="33">
        <f t="shared" ca="1" si="6"/>
        <v>45646</v>
      </c>
      <c r="L78" s="45" t="str">
        <f t="shared" si="7"/>
        <v>North</v>
      </c>
    </row>
    <row r="79" spans="1:12" ht="15" customHeight="1" x14ac:dyDescent="0.35">
      <c r="A79" s="44" t="s">
        <v>194</v>
      </c>
      <c r="B79" s="27" t="s">
        <v>195</v>
      </c>
      <c r="C79" s="27" t="s">
        <v>87</v>
      </c>
      <c r="D79" s="27" t="s">
        <v>15</v>
      </c>
      <c r="E79" s="27" t="s">
        <v>28</v>
      </c>
      <c r="F79" s="28">
        <v>1909.42</v>
      </c>
      <c r="G79" s="31">
        <f t="shared" si="4"/>
        <v>2</v>
      </c>
      <c r="H79" s="30">
        <v>88</v>
      </c>
      <c r="I79" s="32">
        <f t="shared" si="5"/>
        <v>3818.84</v>
      </c>
      <c r="J79" s="38" t="s">
        <v>17</v>
      </c>
      <c r="K79" s="33">
        <f t="shared" ca="1" si="6"/>
        <v>45629</v>
      </c>
      <c r="L79" s="45" t="str">
        <f t="shared" si="7"/>
        <v>South</v>
      </c>
    </row>
    <row r="80" spans="1:12" ht="15" customHeight="1" x14ac:dyDescent="0.35">
      <c r="A80" s="43" t="s">
        <v>196</v>
      </c>
      <c r="B80" s="25" t="s">
        <v>197</v>
      </c>
      <c r="C80" s="25" t="s">
        <v>80</v>
      </c>
      <c r="D80" s="25" t="s">
        <v>72</v>
      </c>
      <c r="E80" s="25" t="s">
        <v>93</v>
      </c>
      <c r="F80" s="26">
        <v>2259.11</v>
      </c>
      <c r="G80" s="31">
        <f t="shared" si="4"/>
        <v>3</v>
      </c>
      <c r="H80" s="29">
        <v>91</v>
      </c>
      <c r="I80" s="32">
        <f t="shared" si="5"/>
        <v>6777.33</v>
      </c>
      <c r="J80" s="39" t="s">
        <v>23</v>
      </c>
      <c r="K80" s="33">
        <f t="shared" ca="1" si="6"/>
        <v>45480</v>
      </c>
      <c r="L80" s="45" t="str">
        <f t="shared" si="7"/>
        <v>East</v>
      </c>
    </row>
    <row r="81" spans="1:12" ht="15" customHeight="1" x14ac:dyDescent="0.35">
      <c r="A81" s="44" t="s">
        <v>198</v>
      </c>
      <c r="B81" s="27" t="s">
        <v>199</v>
      </c>
      <c r="C81" s="27" t="s">
        <v>87</v>
      </c>
      <c r="D81" s="27" t="s">
        <v>72</v>
      </c>
      <c r="E81" s="27" t="s">
        <v>43</v>
      </c>
      <c r="F81" s="28">
        <v>4216.3900000000003</v>
      </c>
      <c r="G81" s="31">
        <f t="shared" si="4"/>
        <v>4</v>
      </c>
      <c r="H81" s="30">
        <v>63</v>
      </c>
      <c r="I81" s="32">
        <f t="shared" si="5"/>
        <v>16865.560000000001</v>
      </c>
      <c r="J81" s="41" t="s">
        <v>77</v>
      </c>
      <c r="K81" s="33">
        <f t="shared" ca="1" si="6"/>
        <v>45492</v>
      </c>
      <c r="L81" s="45" t="str">
        <f t="shared" si="7"/>
        <v>West</v>
      </c>
    </row>
    <row r="82" spans="1:12" ht="15" customHeight="1" x14ac:dyDescent="0.35">
      <c r="A82" s="43" t="s">
        <v>200</v>
      </c>
      <c r="B82" s="25" t="s">
        <v>201</v>
      </c>
      <c r="C82" s="25" t="s">
        <v>14</v>
      </c>
      <c r="D82" s="25" t="s">
        <v>72</v>
      </c>
      <c r="E82" s="25" t="s">
        <v>43</v>
      </c>
      <c r="F82" s="26">
        <v>448.08</v>
      </c>
      <c r="G82" s="31">
        <f t="shared" si="4"/>
        <v>1</v>
      </c>
      <c r="H82" s="29">
        <v>71</v>
      </c>
      <c r="I82" s="32">
        <f t="shared" si="5"/>
        <v>448.08</v>
      </c>
      <c r="J82" s="41" t="s">
        <v>77</v>
      </c>
      <c r="K82" s="33">
        <f t="shared" ca="1" si="6"/>
        <v>45500</v>
      </c>
      <c r="L82" s="45" t="str">
        <f t="shared" si="7"/>
        <v>North</v>
      </c>
    </row>
    <row r="83" spans="1:12" ht="15" customHeight="1" x14ac:dyDescent="0.35">
      <c r="A83" s="44" t="s">
        <v>202</v>
      </c>
      <c r="B83" s="27" t="s">
        <v>203</v>
      </c>
      <c r="C83" s="27" t="s">
        <v>87</v>
      </c>
      <c r="D83" s="27" t="s">
        <v>48</v>
      </c>
      <c r="E83" s="27" t="s">
        <v>22</v>
      </c>
      <c r="F83" s="28">
        <v>2977.14</v>
      </c>
      <c r="G83" s="31">
        <f t="shared" si="4"/>
        <v>2</v>
      </c>
      <c r="H83" s="30">
        <v>66</v>
      </c>
      <c r="I83" s="32">
        <f t="shared" si="5"/>
        <v>5954.28</v>
      </c>
      <c r="J83" s="38" t="s">
        <v>17</v>
      </c>
      <c r="K83" s="33">
        <f t="shared" ca="1" si="6"/>
        <v>45491</v>
      </c>
      <c r="L83" s="45" t="str">
        <f t="shared" si="7"/>
        <v>South</v>
      </c>
    </row>
    <row r="84" spans="1:12" ht="15" customHeight="1" x14ac:dyDescent="0.35">
      <c r="A84" s="43" t="s">
        <v>204</v>
      </c>
      <c r="B84" s="25" t="s">
        <v>205</v>
      </c>
      <c r="C84" s="25" t="s">
        <v>26</v>
      </c>
      <c r="D84" s="25" t="s">
        <v>51</v>
      </c>
      <c r="E84" s="25" t="s">
        <v>16</v>
      </c>
      <c r="F84" s="26">
        <v>2895.3</v>
      </c>
      <c r="G84" s="31">
        <f t="shared" si="4"/>
        <v>3</v>
      </c>
      <c r="H84" s="29">
        <v>62</v>
      </c>
      <c r="I84" s="32">
        <f t="shared" si="5"/>
        <v>8685.9000000000015</v>
      </c>
      <c r="J84" s="38" t="s">
        <v>17</v>
      </c>
      <c r="K84" s="33">
        <f t="shared" ca="1" si="6"/>
        <v>45347</v>
      </c>
      <c r="L84" s="45" t="str">
        <f t="shared" si="7"/>
        <v>East</v>
      </c>
    </row>
    <row r="85" spans="1:12" ht="15" customHeight="1" x14ac:dyDescent="0.35">
      <c r="A85" s="44" t="s">
        <v>206</v>
      </c>
      <c r="B85" s="27" t="s">
        <v>207</v>
      </c>
      <c r="C85" s="27" t="s">
        <v>80</v>
      </c>
      <c r="D85" s="27" t="s">
        <v>51</v>
      </c>
      <c r="E85" s="27" t="s">
        <v>43</v>
      </c>
      <c r="F85" s="28">
        <v>2131.8200000000002</v>
      </c>
      <c r="G85" s="31">
        <f t="shared" si="4"/>
        <v>4</v>
      </c>
      <c r="H85" s="30">
        <v>86</v>
      </c>
      <c r="I85" s="32">
        <f t="shared" si="5"/>
        <v>8527.2800000000007</v>
      </c>
      <c r="J85" s="38" t="s">
        <v>17</v>
      </c>
      <c r="K85" s="33">
        <f t="shared" ca="1" si="6"/>
        <v>45488</v>
      </c>
      <c r="L85" s="45" t="str">
        <f t="shared" si="7"/>
        <v>West</v>
      </c>
    </row>
    <row r="86" spans="1:12" ht="15" customHeight="1" x14ac:dyDescent="0.35">
      <c r="A86" s="43" t="s">
        <v>208</v>
      </c>
      <c r="B86" s="25" t="s">
        <v>209</v>
      </c>
      <c r="C86" s="25" t="s">
        <v>26</v>
      </c>
      <c r="D86" s="25" t="s">
        <v>15</v>
      </c>
      <c r="E86" s="25" t="s">
        <v>88</v>
      </c>
      <c r="F86" s="26">
        <v>4150.58</v>
      </c>
      <c r="G86" s="31">
        <f t="shared" si="4"/>
        <v>1</v>
      </c>
      <c r="H86" s="29">
        <v>94</v>
      </c>
      <c r="I86" s="32">
        <f t="shared" si="5"/>
        <v>4150.58</v>
      </c>
      <c r="J86" s="38" t="s">
        <v>17</v>
      </c>
      <c r="K86" s="33">
        <f t="shared" ca="1" si="6"/>
        <v>45337</v>
      </c>
      <c r="L86" s="45" t="str">
        <f t="shared" si="7"/>
        <v>North</v>
      </c>
    </row>
    <row r="87" spans="1:12" ht="15" customHeight="1" x14ac:dyDescent="0.35">
      <c r="A87" s="44" t="s">
        <v>210</v>
      </c>
      <c r="B87" s="27" t="s">
        <v>211</v>
      </c>
      <c r="C87" s="27" t="s">
        <v>26</v>
      </c>
      <c r="D87" s="27" t="s">
        <v>51</v>
      </c>
      <c r="E87" s="27" t="s">
        <v>88</v>
      </c>
      <c r="F87" s="28">
        <v>4715.0200000000004</v>
      </c>
      <c r="G87" s="31">
        <f t="shared" si="4"/>
        <v>2</v>
      </c>
      <c r="H87" s="30">
        <v>94</v>
      </c>
      <c r="I87" s="32">
        <f t="shared" si="5"/>
        <v>9430.0400000000009</v>
      </c>
      <c r="J87" s="38" t="s">
        <v>17</v>
      </c>
      <c r="K87" s="33">
        <f t="shared" ca="1" si="6"/>
        <v>45409</v>
      </c>
      <c r="L87" s="45" t="str">
        <f t="shared" si="7"/>
        <v>South</v>
      </c>
    </row>
    <row r="88" spans="1:12" ht="15" customHeight="1" x14ac:dyDescent="0.35">
      <c r="A88" s="43" t="s">
        <v>212</v>
      </c>
      <c r="B88" s="25" t="s">
        <v>213</v>
      </c>
      <c r="C88" s="25" t="s">
        <v>41</v>
      </c>
      <c r="D88" s="25" t="s">
        <v>15</v>
      </c>
      <c r="E88" s="25" t="s">
        <v>93</v>
      </c>
      <c r="F88" s="26">
        <v>2332.0300000000002</v>
      </c>
      <c r="G88" s="31">
        <f t="shared" si="4"/>
        <v>3</v>
      </c>
      <c r="H88" s="29">
        <v>36</v>
      </c>
      <c r="I88" s="32">
        <f t="shared" si="5"/>
        <v>6996.09</v>
      </c>
      <c r="J88" s="38" t="s">
        <v>17</v>
      </c>
      <c r="K88" s="33">
        <f t="shared" ca="1" si="6"/>
        <v>45627</v>
      </c>
      <c r="L88" s="45" t="str">
        <f t="shared" si="7"/>
        <v>East</v>
      </c>
    </row>
    <row r="89" spans="1:12" ht="15" customHeight="1" x14ac:dyDescent="0.35">
      <c r="A89" s="44" t="s">
        <v>214</v>
      </c>
      <c r="B89" s="27" t="s">
        <v>215</v>
      </c>
      <c r="C89" s="27" t="s">
        <v>80</v>
      </c>
      <c r="D89" s="27" t="s">
        <v>15</v>
      </c>
      <c r="E89" s="27" t="s">
        <v>16</v>
      </c>
      <c r="F89" s="28">
        <v>2286.17</v>
      </c>
      <c r="G89" s="31">
        <f t="shared" si="4"/>
        <v>4</v>
      </c>
      <c r="H89" s="30">
        <v>72</v>
      </c>
      <c r="I89" s="32">
        <f t="shared" si="5"/>
        <v>9144.68</v>
      </c>
      <c r="J89" s="39" t="s">
        <v>23</v>
      </c>
      <c r="K89" s="33">
        <f t="shared" ca="1" si="6"/>
        <v>45374</v>
      </c>
      <c r="L89" s="45" t="str">
        <f t="shared" si="7"/>
        <v>West</v>
      </c>
    </row>
    <row r="90" spans="1:12" ht="15" customHeight="1" x14ac:dyDescent="0.35">
      <c r="A90" s="43" t="s">
        <v>216</v>
      </c>
      <c r="B90" s="25" t="s">
        <v>217</v>
      </c>
      <c r="C90" s="25" t="s">
        <v>26</v>
      </c>
      <c r="D90" s="25" t="s">
        <v>72</v>
      </c>
      <c r="E90" s="25" t="s">
        <v>43</v>
      </c>
      <c r="F90" s="26">
        <v>2515.3000000000002</v>
      </c>
      <c r="G90" s="31">
        <f t="shared" si="4"/>
        <v>1</v>
      </c>
      <c r="H90" s="29">
        <v>79</v>
      </c>
      <c r="I90" s="32">
        <f t="shared" si="5"/>
        <v>2515.3000000000002</v>
      </c>
      <c r="J90" s="38" t="s">
        <v>17</v>
      </c>
      <c r="K90" s="33">
        <f t="shared" ca="1" si="6"/>
        <v>45372</v>
      </c>
      <c r="L90" s="45" t="str">
        <f t="shared" si="7"/>
        <v>North</v>
      </c>
    </row>
    <row r="91" spans="1:12" ht="15" customHeight="1" x14ac:dyDescent="0.35">
      <c r="A91" s="44" t="s">
        <v>218</v>
      </c>
      <c r="B91" s="27" t="s">
        <v>219</v>
      </c>
      <c r="C91" s="27" t="s">
        <v>41</v>
      </c>
      <c r="D91" s="27" t="s">
        <v>33</v>
      </c>
      <c r="E91" s="27" t="s">
        <v>93</v>
      </c>
      <c r="F91" s="28">
        <v>3618.39</v>
      </c>
      <c r="G91" s="31">
        <f t="shared" si="4"/>
        <v>2</v>
      </c>
      <c r="H91" s="30">
        <v>73</v>
      </c>
      <c r="I91" s="32">
        <f t="shared" si="5"/>
        <v>7236.78</v>
      </c>
      <c r="J91" s="40" t="s">
        <v>29</v>
      </c>
      <c r="K91" s="33">
        <f t="shared" ca="1" si="6"/>
        <v>45340</v>
      </c>
      <c r="L91" s="45" t="str">
        <f t="shared" si="7"/>
        <v>South</v>
      </c>
    </row>
    <row r="92" spans="1:12" ht="15" customHeight="1" x14ac:dyDescent="0.35">
      <c r="A92" s="43" t="s">
        <v>220</v>
      </c>
      <c r="B92" s="25" t="s">
        <v>221</v>
      </c>
      <c r="C92" s="25" t="s">
        <v>41</v>
      </c>
      <c r="D92" s="25" t="s">
        <v>21</v>
      </c>
      <c r="E92" s="25" t="s">
        <v>93</v>
      </c>
      <c r="F92" s="26">
        <v>3343.62</v>
      </c>
      <c r="G92" s="31">
        <f t="shared" si="4"/>
        <v>3</v>
      </c>
      <c r="H92" s="29">
        <v>39</v>
      </c>
      <c r="I92" s="32">
        <f t="shared" si="5"/>
        <v>10030.86</v>
      </c>
      <c r="J92" s="38" t="s">
        <v>17</v>
      </c>
      <c r="K92" s="33">
        <f t="shared" ca="1" si="6"/>
        <v>45408</v>
      </c>
      <c r="L92" s="45" t="str">
        <f t="shared" si="7"/>
        <v>East</v>
      </c>
    </row>
    <row r="93" spans="1:12" ht="15" customHeight="1" x14ac:dyDescent="0.35">
      <c r="A93" s="44" t="s">
        <v>222</v>
      </c>
      <c r="B93" s="27" t="s">
        <v>223</v>
      </c>
      <c r="C93" s="27" t="s">
        <v>80</v>
      </c>
      <c r="D93" s="27" t="s">
        <v>72</v>
      </c>
      <c r="E93" s="27" t="s">
        <v>16</v>
      </c>
      <c r="F93" s="28">
        <v>1121.95</v>
      </c>
      <c r="G93" s="31">
        <f t="shared" si="4"/>
        <v>4</v>
      </c>
      <c r="H93" s="30">
        <v>41</v>
      </c>
      <c r="I93" s="32">
        <f t="shared" si="5"/>
        <v>4487.8</v>
      </c>
      <c r="J93" s="39" t="s">
        <v>23</v>
      </c>
      <c r="K93" s="33">
        <f t="shared" ca="1" si="6"/>
        <v>45577</v>
      </c>
      <c r="L93" s="45" t="str">
        <f t="shared" si="7"/>
        <v>West</v>
      </c>
    </row>
    <row r="94" spans="1:12" ht="15" customHeight="1" x14ac:dyDescent="0.35">
      <c r="A94" s="43" t="s">
        <v>224</v>
      </c>
      <c r="B94" s="25" t="s">
        <v>225</v>
      </c>
      <c r="C94" s="25" t="s">
        <v>32</v>
      </c>
      <c r="D94" s="25" t="s">
        <v>27</v>
      </c>
      <c r="E94" s="25" t="s">
        <v>88</v>
      </c>
      <c r="F94" s="26">
        <v>328.84</v>
      </c>
      <c r="G94" s="31">
        <f t="shared" si="4"/>
        <v>1</v>
      </c>
      <c r="H94" s="29">
        <v>81</v>
      </c>
      <c r="I94" s="32">
        <f t="shared" si="5"/>
        <v>328.84</v>
      </c>
      <c r="J94" s="38" t="s">
        <v>17</v>
      </c>
      <c r="K94" s="33">
        <f t="shared" ca="1" si="6"/>
        <v>45315</v>
      </c>
      <c r="L94" s="45" t="str">
        <f t="shared" si="7"/>
        <v>North</v>
      </c>
    </row>
    <row r="95" spans="1:12" ht="15" customHeight="1" x14ac:dyDescent="0.35">
      <c r="A95" s="44" t="s">
        <v>226</v>
      </c>
      <c r="B95" s="27" t="s">
        <v>227</v>
      </c>
      <c r="C95" s="27" t="s">
        <v>38</v>
      </c>
      <c r="D95" s="27" t="s">
        <v>33</v>
      </c>
      <c r="E95" s="27" t="s">
        <v>28</v>
      </c>
      <c r="F95" s="28">
        <v>4746.78</v>
      </c>
      <c r="G95" s="31">
        <f t="shared" si="4"/>
        <v>2</v>
      </c>
      <c r="H95" s="30">
        <v>57</v>
      </c>
      <c r="I95" s="32">
        <f t="shared" si="5"/>
        <v>9493.56</v>
      </c>
      <c r="J95" s="39" t="s">
        <v>23</v>
      </c>
      <c r="K95" s="33">
        <f t="shared" ca="1" si="6"/>
        <v>45553</v>
      </c>
      <c r="L95" s="45" t="str">
        <f t="shared" si="7"/>
        <v>South</v>
      </c>
    </row>
    <row r="96" spans="1:12" ht="15" customHeight="1" x14ac:dyDescent="0.35">
      <c r="A96" s="43" t="s">
        <v>228</v>
      </c>
      <c r="B96" s="25" t="s">
        <v>229</v>
      </c>
      <c r="C96" s="25" t="s">
        <v>14</v>
      </c>
      <c r="D96" s="25" t="s">
        <v>27</v>
      </c>
      <c r="E96" s="25" t="s">
        <v>88</v>
      </c>
      <c r="F96" s="26">
        <v>1312.74</v>
      </c>
      <c r="G96" s="31">
        <f t="shared" si="4"/>
        <v>3</v>
      </c>
      <c r="H96" s="29">
        <v>74</v>
      </c>
      <c r="I96" s="32">
        <f t="shared" si="5"/>
        <v>3938.2200000000003</v>
      </c>
      <c r="J96" s="41" t="s">
        <v>77</v>
      </c>
      <c r="K96" s="33">
        <f t="shared" ca="1" si="6"/>
        <v>45363</v>
      </c>
      <c r="L96" s="45" t="str">
        <f t="shared" si="7"/>
        <v>East</v>
      </c>
    </row>
    <row r="97" spans="1:12" ht="15" customHeight="1" x14ac:dyDescent="0.35">
      <c r="A97" s="44" t="s">
        <v>230</v>
      </c>
      <c r="B97" s="27" t="s">
        <v>231</v>
      </c>
      <c r="C97" s="27" t="s">
        <v>38</v>
      </c>
      <c r="D97" s="27" t="s">
        <v>42</v>
      </c>
      <c r="E97" s="27" t="s">
        <v>16</v>
      </c>
      <c r="F97" s="28">
        <v>3196.6</v>
      </c>
      <c r="G97" s="31">
        <f t="shared" si="4"/>
        <v>4</v>
      </c>
      <c r="H97" s="30">
        <v>29</v>
      </c>
      <c r="I97" s="32">
        <f t="shared" si="5"/>
        <v>12786.4</v>
      </c>
      <c r="J97" s="38" t="s">
        <v>17</v>
      </c>
      <c r="K97" s="33">
        <f t="shared" ca="1" si="6"/>
        <v>45294</v>
      </c>
      <c r="L97" s="45" t="str">
        <f t="shared" si="7"/>
        <v>West</v>
      </c>
    </row>
    <row r="98" spans="1:12" ht="15" customHeight="1" x14ac:dyDescent="0.35">
      <c r="A98" s="43" t="s">
        <v>232</v>
      </c>
      <c r="B98" s="25" t="s">
        <v>233</v>
      </c>
      <c r="C98" s="25" t="s">
        <v>87</v>
      </c>
      <c r="D98" s="25" t="s">
        <v>27</v>
      </c>
      <c r="E98" s="25" t="s">
        <v>93</v>
      </c>
      <c r="F98" s="26">
        <v>4143.91</v>
      </c>
      <c r="G98" s="31">
        <f t="shared" si="4"/>
        <v>1</v>
      </c>
      <c r="H98" s="29">
        <v>23</v>
      </c>
      <c r="I98" s="32">
        <f t="shared" si="5"/>
        <v>4143.91</v>
      </c>
      <c r="J98" s="41" t="s">
        <v>77</v>
      </c>
      <c r="K98" s="33">
        <f t="shared" ca="1" si="6"/>
        <v>45404</v>
      </c>
      <c r="L98" s="45" t="str">
        <f t="shared" si="7"/>
        <v>North</v>
      </c>
    </row>
    <row r="99" spans="1:12" ht="15" customHeight="1" x14ac:dyDescent="0.35">
      <c r="A99" s="44" t="s">
        <v>234</v>
      </c>
      <c r="B99" s="27" t="s">
        <v>235</v>
      </c>
      <c r="C99" s="27" t="s">
        <v>14</v>
      </c>
      <c r="D99" s="27" t="s">
        <v>21</v>
      </c>
      <c r="E99" s="27" t="s">
        <v>28</v>
      </c>
      <c r="F99" s="28">
        <v>1508.38</v>
      </c>
      <c r="G99" s="31">
        <f t="shared" si="4"/>
        <v>2</v>
      </c>
      <c r="H99" s="30">
        <v>53</v>
      </c>
      <c r="I99" s="32">
        <f t="shared" si="5"/>
        <v>3016.76</v>
      </c>
      <c r="J99" s="39" t="s">
        <v>23</v>
      </c>
      <c r="K99" s="33">
        <f t="shared" ca="1" si="6"/>
        <v>45307</v>
      </c>
      <c r="L99" s="45" t="str">
        <f t="shared" si="7"/>
        <v>South</v>
      </c>
    </row>
    <row r="100" spans="1:12" ht="15" customHeight="1" x14ac:dyDescent="0.35">
      <c r="A100" s="43" t="s">
        <v>236</v>
      </c>
      <c r="B100" s="25" t="s">
        <v>237</v>
      </c>
      <c r="C100" s="25" t="s">
        <v>87</v>
      </c>
      <c r="D100" s="25" t="s">
        <v>15</v>
      </c>
      <c r="E100" s="25" t="s">
        <v>88</v>
      </c>
      <c r="F100" s="26">
        <v>3180.81</v>
      </c>
      <c r="G100" s="31">
        <f t="shared" si="4"/>
        <v>3</v>
      </c>
      <c r="H100" s="29">
        <v>78</v>
      </c>
      <c r="I100" s="32">
        <f t="shared" si="5"/>
        <v>9542.43</v>
      </c>
      <c r="J100" s="38" t="s">
        <v>17</v>
      </c>
      <c r="K100" s="33">
        <f t="shared" ca="1" si="6"/>
        <v>45456</v>
      </c>
      <c r="L100" s="45" t="str">
        <f t="shared" si="7"/>
        <v>East</v>
      </c>
    </row>
    <row r="101" spans="1:12" ht="15" customHeight="1" x14ac:dyDescent="0.35">
      <c r="A101" s="44" t="s">
        <v>238</v>
      </c>
      <c r="B101" s="27" t="s">
        <v>239</v>
      </c>
      <c r="C101" s="27" t="s">
        <v>26</v>
      </c>
      <c r="D101" s="27" t="s">
        <v>51</v>
      </c>
      <c r="E101" s="27" t="s">
        <v>16</v>
      </c>
      <c r="F101" s="28">
        <v>548.41999999999996</v>
      </c>
      <c r="G101" s="31">
        <f t="shared" si="4"/>
        <v>4</v>
      </c>
      <c r="H101" s="30">
        <v>94</v>
      </c>
      <c r="I101" s="32">
        <f t="shared" si="5"/>
        <v>2193.6799999999998</v>
      </c>
      <c r="J101" s="41" t="s">
        <v>77</v>
      </c>
      <c r="K101" s="33">
        <f t="shared" ca="1" si="6"/>
        <v>45593</v>
      </c>
      <c r="L101" s="45" t="str">
        <f t="shared" si="7"/>
        <v>West</v>
      </c>
    </row>
    <row r="102" spans="1:12" ht="15" customHeight="1" x14ac:dyDescent="0.35">
      <c r="A102" s="43" t="s">
        <v>240</v>
      </c>
      <c r="B102" s="25" t="s">
        <v>241</v>
      </c>
      <c r="C102" s="25" t="s">
        <v>67</v>
      </c>
      <c r="D102" s="25" t="s">
        <v>21</v>
      </c>
      <c r="E102" s="25" t="s">
        <v>88</v>
      </c>
      <c r="F102" s="26">
        <v>4849.96</v>
      </c>
      <c r="G102" s="31">
        <f t="shared" si="4"/>
        <v>1</v>
      </c>
      <c r="H102" s="29">
        <v>55</v>
      </c>
      <c r="I102" s="32">
        <f t="shared" si="5"/>
        <v>4849.96</v>
      </c>
      <c r="J102" s="38" t="s">
        <v>17</v>
      </c>
      <c r="K102" s="33">
        <f t="shared" ca="1" si="6"/>
        <v>45629</v>
      </c>
      <c r="L102" s="45" t="str">
        <f t="shared" si="7"/>
        <v>North</v>
      </c>
    </row>
    <row r="103" spans="1:12" ht="15" customHeight="1" x14ac:dyDescent="0.35">
      <c r="A103" s="44" t="s">
        <v>242</v>
      </c>
      <c r="B103" s="27" t="s">
        <v>243</v>
      </c>
      <c r="C103" s="27" t="s">
        <v>80</v>
      </c>
      <c r="D103" s="27" t="s">
        <v>72</v>
      </c>
      <c r="E103" s="27" t="s">
        <v>93</v>
      </c>
      <c r="F103" s="28">
        <v>300.20999999999998</v>
      </c>
      <c r="G103" s="31">
        <f t="shared" si="4"/>
        <v>2</v>
      </c>
      <c r="H103" s="30">
        <v>23</v>
      </c>
      <c r="I103" s="32">
        <f t="shared" si="5"/>
        <v>600.41999999999996</v>
      </c>
      <c r="J103" s="38" t="s">
        <v>17</v>
      </c>
      <c r="K103" s="33">
        <f t="shared" ca="1" si="6"/>
        <v>45524</v>
      </c>
      <c r="L103" s="45" t="str">
        <f t="shared" si="7"/>
        <v>South</v>
      </c>
    </row>
    <row r="104" spans="1:12" ht="15" customHeight="1" x14ac:dyDescent="0.35">
      <c r="A104" s="43" t="s">
        <v>244</v>
      </c>
      <c r="B104" s="25" t="s">
        <v>245</v>
      </c>
      <c r="C104" s="25" t="s">
        <v>14</v>
      </c>
      <c r="D104" s="25" t="s">
        <v>21</v>
      </c>
      <c r="E104" s="25" t="s">
        <v>88</v>
      </c>
      <c r="F104" s="26">
        <v>2196.4899999999998</v>
      </c>
      <c r="G104" s="31">
        <f t="shared" si="4"/>
        <v>3</v>
      </c>
      <c r="H104" s="29">
        <v>93</v>
      </c>
      <c r="I104" s="32">
        <f t="shared" si="5"/>
        <v>6589.4699999999993</v>
      </c>
      <c r="J104" s="39" t="s">
        <v>23</v>
      </c>
      <c r="K104" s="33">
        <f t="shared" ca="1" si="6"/>
        <v>45295</v>
      </c>
      <c r="L104" s="45" t="str">
        <f t="shared" si="7"/>
        <v>East</v>
      </c>
    </row>
    <row r="105" spans="1:12" ht="15" customHeight="1" x14ac:dyDescent="0.35">
      <c r="A105" s="44" t="s">
        <v>246</v>
      </c>
      <c r="B105" s="27" t="s">
        <v>247</v>
      </c>
      <c r="C105" s="27" t="s">
        <v>14</v>
      </c>
      <c r="D105" s="27" t="s">
        <v>42</v>
      </c>
      <c r="E105" s="27" t="s">
        <v>43</v>
      </c>
      <c r="F105" s="28">
        <v>2688.73</v>
      </c>
      <c r="G105" s="31">
        <f t="shared" si="4"/>
        <v>4</v>
      </c>
      <c r="H105" s="30">
        <v>78</v>
      </c>
      <c r="I105" s="32">
        <f t="shared" si="5"/>
        <v>10754.92</v>
      </c>
      <c r="J105" s="39" t="s">
        <v>23</v>
      </c>
      <c r="K105" s="33">
        <f t="shared" ca="1" si="6"/>
        <v>45629</v>
      </c>
      <c r="L105" s="45" t="str">
        <f t="shared" si="7"/>
        <v>West</v>
      </c>
    </row>
    <row r="106" spans="1:12" ht="15" customHeight="1" x14ac:dyDescent="0.35">
      <c r="A106" s="43" t="s">
        <v>248</v>
      </c>
      <c r="B106" s="25" t="s">
        <v>249</v>
      </c>
      <c r="C106" s="25" t="s">
        <v>26</v>
      </c>
      <c r="D106" s="25" t="s">
        <v>27</v>
      </c>
      <c r="E106" s="25" t="s">
        <v>22</v>
      </c>
      <c r="F106" s="26">
        <v>3954.5</v>
      </c>
      <c r="G106" s="31">
        <f t="shared" si="4"/>
        <v>1</v>
      </c>
      <c r="H106" s="29">
        <v>71</v>
      </c>
      <c r="I106" s="32">
        <f t="shared" si="5"/>
        <v>3954.5</v>
      </c>
      <c r="J106" s="38" t="s">
        <v>17</v>
      </c>
      <c r="K106" s="33">
        <f t="shared" ca="1" si="6"/>
        <v>45488</v>
      </c>
      <c r="L106" s="45" t="str">
        <f t="shared" si="7"/>
        <v>North</v>
      </c>
    </row>
    <row r="107" spans="1:12" ht="15" customHeight="1" x14ac:dyDescent="0.35">
      <c r="A107" s="44" t="s">
        <v>250</v>
      </c>
      <c r="B107" s="27" t="s">
        <v>251</v>
      </c>
      <c r="C107" s="27" t="s">
        <v>32</v>
      </c>
      <c r="D107" s="27" t="s">
        <v>21</v>
      </c>
      <c r="E107" s="27" t="s">
        <v>28</v>
      </c>
      <c r="F107" s="28">
        <v>614.42999999999995</v>
      </c>
      <c r="G107" s="31">
        <f t="shared" si="4"/>
        <v>2</v>
      </c>
      <c r="H107" s="30">
        <v>82</v>
      </c>
      <c r="I107" s="32">
        <f t="shared" si="5"/>
        <v>1228.8599999999999</v>
      </c>
      <c r="J107" s="38" t="s">
        <v>17</v>
      </c>
      <c r="K107" s="33">
        <f t="shared" ca="1" si="6"/>
        <v>45352</v>
      </c>
      <c r="L107" s="45" t="str">
        <f t="shared" si="7"/>
        <v>South</v>
      </c>
    </row>
    <row r="108" spans="1:12" ht="15" customHeight="1" x14ac:dyDescent="0.35">
      <c r="A108" s="43" t="s">
        <v>252</v>
      </c>
      <c r="B108" s="25" t="s">
        <v>253</v>
      </c>
      <c r="C108" s="25" t="s">
        <v>41</v>
      </c>
      <c r="D108" s="25" t="s">
        <v>27</v>
      </c>
      <c r="E108" s="25" t="s">
        <v>16</v>
      </c>
      <c r="F108" s="26">
        <v>2209.63</v>
      </c>
      <c r="G108" s="31">
        <f t="shared" si="4"/>
        <v>3</v>
      </c>
      <c r="H108" s="29">
        <v>92</v>
      </c>
      <c r="I108" s="32">
        <f t="shared" si="5"/>
        <v>6628.89</v>
      </c>
      <c r="J108" s="38" t="s">
        <v>17</v>
      </c>
      <c r="K108" s="33">
        <f t="shared" ca="1" si="6"/>
        <v>45588</v>
      </c>
      <c r="L108" s="45" t="str">
        <f t="shared" si="7"/>
        <v>East</v>
      </c>
    </row>
    <row r="109" spans="1:12" ht="15" customHeight="1" x14ac:dyDescent="0.35">
      <c r="A109" s="44" t="s">
        <v>254</v>
      </c>
      <c r="B109" s="27" t="s">
        <v>255</v>
      </c>
      <c r="C109" s="27" t="s">
        <v>26</v>
      </c>
      <c r="D109" s="27" t="s">
        <v>15</v>
      </c>
      <c r="E109" s="27" t="s">
        <v>43</v>
      </c>
      <c r="F109" s="28">
        <v>1505.56</v>
      </c>
      <c r="G109" s="31">
        <f t="shared" si="4"/>
        <v>4</v>
      </c>
      <c r="H109" s="30">
        <v>42</v>
      </c>
      <c r="I109" s="32">
        <f t="shared" si="5"/>
        <v>6022.24</v>
      </c>
      <c r="J109" s="41" t="s">
        <v>77</v>
      </c>
      <c r="K109" s="33">
        <f t="shared" ca="1" si="6"/>
        <v>45336</v>
      </c>
      <c r="L109" s="45" t="str">
        <f t="shared" si="7"/>
        <v>West</v>
      </c>
    </row>
    <row r="110" spans="1:12" ht="15" customHeight="1" x14ac:dyDescent="0.35">
      <c r="A110" s="43" t="s">
        <v>256</v>
      </c>
      <c r="B110" s="25" t="s">
        <v>257</v>
      </c>
      <c r="C110" s="25" t="s">
        <v>62</v>
      </c>
      <c r="D110" s="25" t="s">
        <v>27</v>
      </c>
      <c r="E110" s="25" t="s">
        <v>16</v>
      </c>
      <c r="F110" s="26">
        <v>1566.93</v>
      </c>
      <c r="G110" s="31">
        <f t="shared" si="4"/>
        <v>1</v>
      </c>
      <c r="H110" s="29">
        <v>38</v>
      </c>
      <c r="I110" s="32">
        <f t="shared" si="5"/>
        <v>1566.93</v>
      </c>
      <c r="J110" s="38" t="s">
        <v>17</v>
      </c>
      <c r="K110" s="33">
        <f t="shared" ca="1" si="6"/>
        <v>45631</v>
      </c>
      <c r="L110" s="45" t="str">
        <f t="shared" si="7"/>
        <v>North</v>
      </c>
    </row>
    <row r="111" spans="1:12" ht="15" customHeight="1" x14ac:dyDescent="0.35">
      <c r="A111" s="44" t="s">
        <v>258</v>
      </c>
      <c r="B111" s="27" t="s">
        <v>259</v>
      </c>
      <c r="C111" s="27" t="s">
        <v>41</v>
      </c>
      <c r="D111" s="27" t="s">
        <v>27</v>
      </c>
      <c r="E111" s="27" t="s">
        <v>88</v>
      </c>
      <c r="F111" s="28">
        <v>3896.15</v>
      </c>
      <c r="G111" s="31">
        <f t="shared" si="4"/>
        <v>2</v>
      </c>
      <c r="H111" s="30">
        <v>43</v>
      </c>
      <c r="I111" s="32">
        <f t="shared" si="5"/>
        <v>7792.3</v>
      </c>
      <c r="J111" s="38" t="s">
        <v>17</v>
      </c>
      <c r="K111" s="33">
        <f t="shared" ca="1" si="6"/>
        <v>45344</v>
      </c>
      <c r="L111" s="45" t="str">
        <f t="shared" si="7"/>
        <v>South</v>
      </c>
    </row>
    <row r="112" spans="1:12" ht="15" customHeight="1" x14ac:dyDescent="0.35">
      <c r="A112" s="43" t="s">
        <v>260</v>
      </c>
      <c r="B112" s="25" t="s">
        <v>261</v>
      </c>
      <c r="C112" s="25" t="s">
        <v>80</v>
      </c>
      <c r="D112" s="25" t="s">
        <v>51</v>
      </c>
      <c r="E112" s="25" t="s">
        <v>22</v>
      </c>
      <c r="F112" s="26">
        <v>37.25</v>
      </c>
      <c r="G112" s="31">
        <f t="shared" si="4"/>
        <v>3</v>
      </c>
      <c r="H112" s="29">
        <v>62</v>
      </c>
      <c r="I112" s="32">
        <f t="shared" si="5"/>
        <v>111.75</v>
      </c>
      <c r="J112" s="38" t="s">
        <v>17</v>
      </c>
      <c r="K112" s="33">
        <f t="shared" ca="1" si="6"/>
        <v>45483</v>
      </c>
      <c r="L112" s="45" t="str">
        <f t="shared" si="7"/>
        <v>East</v>
      </c>
    </row>
    <row r="113" spans="1:12" ht="15" customHeight="1" x14ac:dyDescent="0.35">
      <c r="A113" s="44" t="s">
        <v>262</v>
      </c>
      <c r="B113" s="27" t="s">
        <v>263</v>
      </c>
      <c r="C113" s="27" t="s">
        <v>41</v>
      </c>
      <c r="D113" s="27" t="s">
        <v>42</v>
      </c>
      <c r="E113" s="27" t="s">
        <v>93</v>
      </c>
      <c r="F113" s="28">
        <v>3747.93</v>
      </c>
      <c r="G113" s="31">
        <f t="shared" si="4"/>
        <v>4</v>
      </c>
      <c r="H113" s="30">
        <v>83</v>
      </c>
      <c r="I113" s="32">
        <f t="shared" si="5"/>
        <v>14991.72</v>
      </c>
      <c r="J113" s="38" t="s">
        <v>17</v>
      </c>
      <c r="K113" s="33">
        <f t="shared" ca="1" si="6"/>
        <v>45634</v>
      </c>
      <c r="L113" s="45" t="str">
        <f t="shared" si="7"/>
        <v>West</v>
      </c>
    </row>
    <row r="114" spans="1:12" ht="15" customHeight="1" x14ac:dyDescent="0.35">
      <c r="A114" s="43" t="s">
        <v>264</v>
      </c>
      <c r="B114" s="25" t="s">
        <v>265</v>
      </c>
      <c r="C114" s="25" t="s">
        <v>32</v>
      </c>
      <c r="D114" s="25" t="s">
        <v>33</v>
      </c>
      <c r="E114" s="25" t="s">
        <v>93</v>
      </c>
      <c r="F114" s="26">
        <v>4053.89</v>
      </c>
      <c r="G114" s="31">
        <f t="shared" si="4"/>
        <v>1</v>
      </c>
      <c r="H114" s="29">
        <v>94</v>
      </c>
      <c r="I114" s="32">
        <f t="shared" si="5"/>
        <v>4053.89</v>
      </c>
      <c r="J114" s="41" t="s">
        <v>77</v>
      </c>
      <c r="K114" s="33">
        <f t="shared" ca="1" si="6"/>
        <v>45581</v>
      </c>
      <c r="L114" s="45" t="str">
        <f t="shared" si="7"/>
        <v>North</v>
      </c>
    </row>
    <row r="115" spans="1:12" ht="15" customHeight="1" x14ac:dyDescent="0.35">
      <c r="A115" s="44" t="s">
        <v>266</v>
      </c>
      <c r="B115" s="27" t="s">
        <v>267</v>
      </c>
      <c r="C115" s="27" t="s">
        <v>41</v>
      </c>
      <c r="D115" s="27" t="s">
        <v>15</v>
      </c>
      <c r="E115" s="27" t="s">
        <v>16</v>
      </c>
      <c r="F115" s="28">
        <v>4507.8</v>
      </c>
      <c r="G115" s="31">
        <f t="shared" si="4"/>
        <v>2</v>
      </c>
      <c r="H115" s="30">
        <v>68</v>
      </c>
      <c r="I115" s="32">
        <f t="shared" si="5"/>
        <v>9015.6</v>
      </c>
      <c r="J115" s="41" t="s">
        <v>77</v>
      </c>
      <c r="K115" s="33">
        <f t="shared" ca="1" si="6"/>
        <v>45332</v>
      </c>
      <c r="L115" s="45" t="str">
        <f t="shared" si="7"/>
        <v>South</v>
      </c>
    </row>
    <row r="116" spans="1:12" ht="15" customHeight="1" x14ac:dyDescent="0.35">
      <c r="A116" s="43" t="s">
        <v>268</v>
      </c>
      <c r="B116" s="25" t="s">
        <v>269</v>
      </c>
      <c r="C116" s="25" t="s">
        <v>80</v>
      </c>
      <c r="D116" s="25" t="s">
        <v>72</v>
      </c>
      <c r="E116" s="25" t="s">
        <v>88</v>
      </c>
      <c r="F116" s="26">
        <v>3138.14</v>
      </c>
      <c r="G116" s="31">
        <f t="shared" si="4"/>
        <v>3</v>
      </c>
      <c r="H116" s="29">
        <v>28</v>
      </c>
      <c r="I116" s="32">
        <f t="shared" si="5"/>
        <v>9414.42</v>
      </c>
      <c r="J116" s="41" t="s">
        <v>77</v>
      </c>
      <c r="K116" s="33">
        <f t="shared" ca="1" si="6"/>
        <v>45377</v>
      </c>
      <c r="L116" s="45" t="str">
        <f t="shared" si="7"/>
        <v>East</v>
      </c>
    </row>
    <row r="117" spans="1:12" ht="15" customHeight="1" x14ac:dyDescent="0.35">
      <c r="A117" s="44" t="s">
        <v>270</v>
      </c>
      <c r="B117" s="27" t="s">
        <v>271</v>
      </c>
      <c r="C117" s="27" t="s">
        <v>32</v>
      </c>
      <c r="D117" s="27" t="s">
        <v>21</v>
      </c>
      <c r="E117" s="27" t="s">
        <v>93</v>
      </c>
      <c r="F117" s="28">
        <v>1673.94</v>
      </c>
      <c r="G117" s="31">
        <f t="shared" si="4"/>
        <v>4</v>
      </c>
      <c r="H117" s="30">
        <v>93</v>
      </c>
      <c r="I117" s="32">
        <f t="shared" si="5"/>
        <v>6695.76</v>
      </c>
      <c r="J117" s="38" t="s">
        <v>17</v>
      </c>
      <c r="K117" s="33">
        <f t="shared" ca="1" si="6"/>
        <v>45526</v>
      </c>
      <c r="L117" s="45" t="str">
        <f t="shared" si="7"/>
        <v>West</v>
      </c>
    </row>
    <row r="118" spans="1:12" ht="15" customHeight="1" x14ac:dyDescent="0.35">
      <c r="A118" s="43" t="s">
        <v>272</v>
      </c>
      <c r="B118" s="25" t="s">
        <v>273</v>
      </c>
      <c r="C118" s="25" t="s">
        <v>38</v>
      </c>
      <c r="D118" s="25" t="s">
        <v>33</v>
      </c>
      <c r="E118" s="25" t="s">
        <v>22</v>
      </c>
      <c r="F118" s="26">
        <v>2141.9</v>
      </c>
      <c r="G118" s="31">
        <f t="shared" si="4"/>
        <v>1</v>
      </c>
      <c r="H118" s="29">
        <v>75</v>
      </c>
      <c r="I118" s="32">
        <f t="shared" si="5"/>
        <v>2141.9</v>
      </c>
      <c r="J118" s="38" t="s">
        <v>17</v>
      </c>
      <c r="K118" s="33">
        <f t="shared" ca="1" si="6"/>
        <v>45338</v>
      </c>
      <c r="L118" s="45" t="str">
        <f t="shared" si="7"/>
        <v>North</v>
      </c>
    </row>
    <row r="119" spans="1:12" ht="15" customHeight="1" x14ac:dyDescent="0.35">
      <c r="A119" s="44" t="s">
        <v>274</v>
      </c>
      <c r="B119" s="27" t="s">
        <v>275</v>
      </c>
      <c r="C119" s="27" t="s">
        <v>14</v>
      </c>
      <c r="D119" s="27" t="s">
        <v>51</v>
      </c>
      <c r="E119" s="27" t="s">
        <v>22</v>
      </c>
      <c r="F119" s="28">
        <v>4848.9799999999996</v>
      </c>
      <c r="G119" s="31">
        <f t="shared" si="4"/>
        <v>2</v>
      </c>
      <c r="H119" s="30">
        <v>45</v>
      </c>
      <c r="I119" s="32">
        <f t="shared" si="5"/>
        <v>9697.9599999999991</v>
      </c>
      <c r="J119" s="38" t="s">
        <v>17</v>
      </c>
      <c r="K119" s="33">
        <f t="shared" ca="1" si="6"/>
        <v>45352</v>
      </c>
      <c r="L119" s="45" t="str">
        <f t="shared" si="7"/>
        <v>South</v>
      </c>
    </row>
    <row r="120" spans="1:12" ht="15" customHeight="1" x14ac:dyDescent="0.35">
      <c r="A120" s="43" t="s">
        <v>276</v>
      </c>
      <c r="B120" s="25" t="s">
        <v>277</v>
      </c>
      <c r="C120" s="25" t="s">
        <v>14</v>
      </c>
      <c r="D120" s="25" t="s">
        <v>15</v>
      </c>
      <c r="E120" s="25" t="s">
        <v>28</v>
      </c>
      <c r="F120" s="26">
        <v>4407.12</v>
      </c>
      <c r="G120" s="31">
        <f t="shared" si="4"/>
        <v>3</v>
      </c>
      <c r="H120" s="29">
        <v>30</v>
      </c>
      <c r="I120" s="32">
        <f t="shared" si="5"/>
        <v>13221.36</v>
      </c>
      <c r="J120" s="40" t="s">
        <v>29</v>
      </c>
      <c r="K120" s="33">
        <f t="shared" ca="1" si="6"/>
        <v>45317</v>
      </c>
      <c r="L120" s="45" t="str">
        <f t="shared" si="7"/>
        <v>East</v>
      </c>
    </row>
    <row r="121" spans="1:12" ht="15" customHeight="1" x14ac:dyDescent="0.35">
      <c r="A121" s="44" t="s">
        <v>278</v>
      </c>
      <c r="B121" s="27" t="s">
        <v>279</v>
      </c>
      <c r="C121" s="27" t="s">
        <v>87</v>
      </c>
      <c r="D121" s="27" t="s">
        <v>27</v>
      </c>
      <c r="E121" s="27" t="s">
        <v>28</v>
      </c>
      <c r="F121" s="28">
        <v>2322.9899999999998</v>
      </c>
      <c r="G121" s="31">
        <f t="shared" si="4"/>
        <v>4</v>
      </c>
      <c r="H121" s="30">
        <v>26</v>
      </c>
      <c r="I121" s="32">
        <f t="shared" si="5"/>
        <v>9291.9599999999991</v>
      </c>
      <c r="J121" s="41" t="s">
        <v>77</v>
      </c>
      <c r="K121" s="33">
        <f t="shared" ca="1" si="6"/>
        <v>45418</v>
      </c>
      <c r="L121" s="45" t="str">
        <f t="shared" si="7"/>
        <v>West</v>
      </c>
    </row>
    <row r="122" spans="1:12" ht="15" customHeight="1" x14ac:dyDescent="0.35">
      <c r="A122" s="43" t="s">
        <v>280</v>
      </c>
      <c r="B122" s="25" t="s">
        <v>281</v>
      </c>
      <c r="C122" s="25" t="s">
        <v>38</v>
      </c>
      <c r="D122" s="25" t="s">
        <v>27</v>
      </c>
      <c r="E122" s="25" t="s">
        <v>43</v>
      </c>
      <c r="F122" s="26">
        <v>4715.88</v>
      </c>
      <c r="G122" s="31">
        <f t="shared" si="4"/>
        <v>1</v>
      </c>
      <c r="H122" s="29">
        <v>96</v>
      </c>
      <c r="I122" s="32">
        <f t="shared" si="5"/>
        <v>4715.88</v>
      </c>
      <c r="J122" s="39" t="s">
        <v>23</v>
      </c>
      <c r="K122" s="33">
        <f t="shared" ca="1" si="6"/>
        <v>45490</v>
      </c>
      <c r="L122" s="45" t="str">
        <f t="shared" si="7"/>
        <v>North</v>
      </c>
    </row>
    <row r="123" spans="1:12" ht="15" customHeight="1" x14ac:dyDescent="0.35">
      <c r="A123" s="44" t="s">
        <v>282</v>
      </c>
      <c r="B123" s="27" t="s">
        <v>283</v>
      </c>
      <c r="C123" s="27" t="s">
        <v>38</v>
      </c>
      <c r="D123" s="27" t="s">
        <v>51</v>
      </c>
      <c r="E123" s="27" t="s">
        <v>93</v>
      </c>
      <c r="F123" s="28">
        <v>4116.54</v>
      </c>
      <c r="G123" s="31">
        <f t="shared" si="4"/>
        <v>2</v>
      </c>
      <c r="H123" s="30">
        <v>72</v>
      </c>
      <c r="I123" s="32">
        <f t="shared" si="5"/>
        <v>8233.08</v>
      </c>
      <c r="J123" s="38" t="s">
        <v>17</v>
      </c>
      <c r="K123" s="33">
        <f t="shared" ca="1" si="6"/>
        <v>45447</v>
      </c>
      <c r="L123" s="45" t="str">
        <f t="shared" si="7"/>
        <v>South</v>
      </c>
    </row>
    <row r="124" spans="1:12" ht="15" customHeight="1" x14ac:dyDescent="0.35">
      <c r="A124" s="43" t="s">
        <v>284</v>
      </c>
      <c r="B124" s="25" t="s">
        <v>285</v>
      </c>
      <c r="C124" s="25" t="s">
        <v>41</v>
      </c>
      <c r="D124" s="25" t="s">
        <v>21</v>
      </c>
      <c r="E124" s="25" t="s">
        <v>88</v>
      </c>
      <c r="F124" s="26">
        <v>4506.4399999999996</v>
      </c>
      <c r="G124" s="31">
        <f t="shared" si="4"/>
        <v>3</v>
      </c>
      <c r="H124" s="29">
        <v>74</v>
      </c>
      <c r="I124" s="32">
        <f t="shared" si="5"/>
        <v>13519.32</v>
      </c>
      <c r="J124" s="38" t="s">
        <v>17</v>
      </c>
      <c r="K124" s="33">
        <f t="shared" ca="1" si="6"/>
        <v>45308</v>
      </c>
      <c r="L124" s="45" t="str">
        <f t="shared" si="7"/>
        <v>East</v>
      </c>
    </row>
    <row r="125" spans="1:12" ht="15" customHeight="1" x14ac:dyDescent="0.35">
      <c r="A125" s="44" t="s">
        <v>286</v>
      </c>
      <c r="B125" s="27" t="s">
        <v>287</v>
      </c>
      <c r="C125" s="27" t="s">
        <v>14</v>
      </c>
      <c r="D125" s="27" t="s">
        <v>27</v>
      </c>
      <c r="E125" s="27" t="s">
        <v>22</v>
      </c>
      <c r="F125" s="28">
        <v>3418.06</v>
      </c>
      <c r="G125" s="31">
        <f t="shared" si="4"/>
        <v>4</v>
      </c>
      <c r="H125" s="30">
        <v>39</v>
      </c>
      <c r="I125" s="32">
        <f t="shared" si="5"/>
        <v>13672.24</v>
      </c>
      <c r="J125" s="38" t="s">
        <v>17</v>
      </c>
      <c r="K125" s="33">
        <f t="shared" ca="1" si="6"/>
        <v>45360</v>
      </c>
      <c r="L125" s="45" t="str">
        <f t="shared" si="7"/>
        <v>West</v>
      </c>
    </row>
    <row r="126" spans="1:12" ht="15" customHeight="1" x14ac:dyDescent="0.35">
      <c r="A126" s="43" t="s">
        <v>288</v>
      </c>
      <c r="B126" s="25" t="s">
        <v>289</v>
      </c>
      <c r="C126" s="25" t="s">
        <v>80</v>
      </c>
      <c r="D126" s="25" t="s">
        <v>42</v>
      </c>
      <c r="E126" s="25" t="s">
        <v>93</v>
      </c>
      <c r="F126" s="26">
        <v>4289.6899999999996</v>
      </c>
      <c r="G126" s="31">
        <f t="shared" si="4"/>
        <v>1</v>
      </c>
      <c r="H126" s="29">
        <v>93</v>
      </c>
      <c r="I126" s="32">
        <f t="shared" si="5"/>
        <v>4289.6899999999996</v>
      </c>
      <c r="J126" s="38" t="s">
        <v>17</v>
      </c>
      <c r="K126" s="33">
        <f t="shared" ca="1" si="6"/>
        <v>45645</v>
      </c>
      <c r="L126" s="45" t="str">
        <f t="shared" si="7"/>
        <v>North</v>
      </c>
    </row>
    <row r="127" spans="1:12" ht="15" customHeight="1" x14ac:dyDescent="0.35">
      <c r="A127" s="44" t="s">
        <v>290</v>
      </c>
      <c r="B127" s="27" t="s">
        <v>291</v>
      </c>
      <c r="C127" s="27" t="s">
        <v>20</v>
      </c>
      <c r="D127" s="27" t="s">
        <v>21</v>
      </c>
      <c r="E127" s="27" t="s">
        <v>43</v>
      </c>
      <c r="F127" s="28">
        <v>4459.91</v>
      </c>
      <c r="G127" s="31">
        <f t="shared" si="4"/>
        <v>2</v>
      </c>
      <c r="H127" s="30">
        <v>83</v>
      </c>
      <c r="I127" s="32">
        <f t="shared" si="5"/>
        <v>8919.82</v>
      </c>
      <c r="J127" s="38" t="s">
        <v>17</v>
      </c>
      <c r="K127" s="33">
        <f t="shared" ca="1" si="6"/>
        <v>45421</v>
      </c>
      <c r="L127" s="45" t="str">
        <f t="shared" si="7"/>
        <v>South</v>
      </c>
    </row>
    <row r="128" spans="1:12" ht="15" customHeight="1" x14ac:dyDescent="0.35">
      <c r="A128" s="43" t="s">
        <v>292</v>
      </c>
      <c r="B128" s="25" t="s">
        <v>293</v>
      </c>
      <c r="C128" s="25" t="s">
        <v>20</v>
      </c>
      <c r="D128" s="25" t="s">
        <v>33</v>
      </c>
      <c r="E128" s="25" t="s">
        <v>28</v>
      </c>
      <c r="F128" s="26">
        <v>469.16</v>
      </c>
      <c r="G128" s="31">
        <f t="shared" si="4"/>
        <v>3</v>
      </c>
      <c r="H128" s="29">
        <v>45</v>
      </c>
      <c r="I128" s="32">
        <f t="shared" si="5"/>
        <v>1407.48</v>
      </c>
      <c r="J128" s="41" t="s">
        <v>77</v>
      </c>
      <c r="K128" s="33">
        <f t="shared" ca="1" si="6"/>
        <v>45330</v>
      </c>
      <c r="L128" s="45" t="str">
        <f t="shared" si="7"/>
        <v>East</v>
      </c>
    </row>
    <row r="129" spans="1:12" ht="15" customHeight="1" x14ac:dyDescent="0.35">
      <c r="A129" s="44" t="s">
        <v>294</v>
      </c>
      <c r="B129" s="27" t="s">
        <v>295</v>
      </c>
      <c r="C129" s="27" t="s">
        <v>32</v>
      </c>
      <c r="D129" s="27" t="s">
        <v>51</v>
      </c>
      <c r="E129" s="27" t="s">
        <v>28</v>
      </c>
      <c r="F129" s="28">
        <v>4826.43</v>
      </c>
      <c r="G129" s="31">
        <f t="shared" si="4"/>
        <v>4</v>
      </c>
      <c r="H129" s="30">
        <v>10</v>
      </c>
      <c r="I129" s="32">
        <f t="shared" si="5"/>
        <v>19305.72</v>
      </c>
      <c r="J129" s="38" t="s">
        <v>17</v>
      </c>
      <c r="K129" s="33">
        <f t="shared" ca="1" si="6"/>
        <v>45581</v>
      </c>
      <c r="L129" s="45" t="str">
        <f t="shared" si="7"/>
        <v>West</v>
      </c>
    </row>
    <row r="130" spans="1:12" ht="15" customHeight="1" x14ac:dyDescent="0.35">
      <c r="A130" s="43" t="s">
        <v>296</v>
      </c>
      <c r="B130" s="25" t="s">
        <v>297</v>
      </c>
      <c r="C130" s="25" t="s">
        <v>14</v>
      </c>
      <c r="D130" s="25" t="s">
        <v>51</v>
      </c>
      <c r="E130" s="25" t="s">
        <v>43</v>
      </c>
      <c r="F130" s="26">
        <v>1674.73</v>
      </c>
      <c r="G130" s="31">
        <f t="shared" si="4"/>
        <v>1</v>
      </c>
      <c r="H130" s="29">
        <v>89</v>
      </c>
      <c r="I130" s="32">
        <f t="shared" si="5"/>
        <v>1674.73</v>
      </c>
      <c r="J130" s="41" t="s">
        <v>77</v>
      </c>
      <c r="K130" s="33">
        <f t="shared" ca="1" si="6"/>
        <v>45466</v>
      </c>
      <c r="L130" s="45" t="str">
        <f t="shared" si="7"/>
        <v>North</v>
      </c>
    </row>
    <row r="131" spans="1:12" ht="15" customHeight="1" x14ac:dyDescent="0.35">
      <c r="A131" s="44" t="s">
        <v>298</v>
      </c>
      <c r="B131" s="27" t="s">
        <v>299</v>
      </c>
      <c r="C131" s="27" t="s">
        <v>14</v>
      </c>
      <c r="D131" s="27" t="s">
        <v>51</v>
      </c>
      <c r="E131" s="27" t="s">
        <v>93</v>
      </c>
      <c r="F131" s="28">
        <v>2205.1</v>
      </c>
      <c r="G131" s="31">
        <f t="shared" ref="G131:G194" si="8">MOD(ROW()-2,4)+1</f>
        <v>2</v>
      </c>
      <c r="H131" s="30">
        <v>66</v>
      </c>
      <c r="I131" s="32">
        <f t="shared" ref="I131:I194" si="9">F131*G131</f>
        <v>4410.2</v>
      </c>
      <c r="J131" s="38" t="s">
        <v>17</v>
      </c>
      <c r="K131" s="33">
        <f t="shared" ref="K131:K194" ca="1" si="10">IF(ROW()&lt;=151,DATE(2024,RANDBETWEEN(1,12),RANDBETWEEN(1,28)),DATE(2025,RANDBETWEEN(1,12),RANDBETWEEN(1,28)))</f>
        <v>45458</v>
      </c>
      <c r="L131" s="45" t="str">
        <f t="shared" ref="L131:L194" si="11">CHOOSE(MOD(ROW()-2,4)+1,"North","South","East","West")</f>
        <v>South</v>
      </c>
    </row>
    <row r="132" spans="1:12" ht="15" customHeight="1" x14ac:dyDescent="0.35">
      <c r="A132" s="43" t="s">
        <v>300</v>
      </c>
      <c r="B132" s="25" t="s">
        <v>301</v>
      </c>
      <c r="C132" s="25" t="s">
        <v>20</v>
      </c>
      <c r="D132" s="25" t="s">
        <v>33</v>
      </c>
      <c r="E132" s="25" t="s">
        <v>16</v>
      </c>
      <c r="F132" s="26">
        <v>3961.6</v>
      </c>
      <c r="G132" s="31">
        <f t="shared" si="8"/>
        <v>3</v>
      </c>
      <c r="H132" s="29">
        <v>68</v>
      </c>
      <c r="I132" s="32">
        <f t="shared" si="9"/>
        <v>11884.8</v>
      </c>
      <c r="J132" s="38" t="s">
        <v>17</v>
      </c>
      <c r="K132" s="33">
        <f t="shared" ca="1" si="10"/>
        <v>45459</v>
      </c>
      <c r="L132" s="45" t="str">
        <f t="shared" si="11"/>
        <v>East</v>
      </c>
    </row>
    <row r="133" spans="1:12" ht="15" customHeight="1" x14ac:dyDescent="0.35">
      <c r="A133" s="44" t="s">
        <v>302</v>
      </c>
      <c r="B133" s="27" t="s">
        <v>303</v>
      </c>
      <c r="C133" s="27" t="s">
        <v>14</v>
      </c>
      <c r="D133" s="27" t="s">
        <v>48</v>
      </c>
      <c r="E133" s="27" t="s">
        <v>93</v>
      </c>
      <c r="F133" s="28">
        <v>3327.83</v>
      </c>
      <c r="G133" s="31">
        <f t="shared" si="8"/>
        <v>4</v>
      </c>
      <c r="H133" s="30">
        <v>56</v>
      </c>
      <c r="I133" s="32">
        <f t="shared" si="9"/>
        <v>13311.32</v>
      </c>
      <c r="J133" s="39" t="s">
        <v>23</v>
      </c>
      <c r="K133" s="33">
        <f t="shared" ca="1" si="10"/>
        <v>45297</v>
      </c>
      <c r="L133" s="45" t="str">
        <f t="shared" si="11"/>
        <v>West</v>
      </c>
    </row>
    <row r="134" spans="1:12" ht="15" customHeight="1" x14ac:dyDescent="0.35">
      <c r="A134" s="43" t="s">
        <v>304</v>
      </c>
      <c r="B134" s="25" t="s">
        <v>305</v>
      </c>
      <c r="C134" s="25" t="s">
        <v>41</v>
      </c>
      <c r="D134" s="25" t="s">
        <v>15</v>
      </c>
      <c r="E134" s="25" t="s">
        <v>22</v>
      </c>
      <c r="F134" s="26">
        <v>4466.37</v>
      </c>
      <c r="G134" s="31">
        <f t="shared" si="8"/>
        <v>1</v>
      </c>
      <c r="H134" s="29">
        <v>13</v>
      </c>
      <c r="I134" s="32">
        <f t="shared" si="9"/>
        <v>4466.37</v>
      </c>
      <c r="J134" s="41" t="s">
        <v>77</v>
      </c>
      <c r="K134" s="33">
        <f t="shared" ca="1" si="10"/>
        <v>45362</v>
      </c>
      <c r="L134" s="45" t="str">
        <f t="shared" si="11"/>
        <v>North</v>
      </c>
    </row>
    <row r="135" spans="1:12" ht="15" customHeight="1" x14ac:dyDescent="0.35">
      <c r="A135" s="44" t="s">
        <v>306</v>
      </c>
      <c r="B135" s="27" t="s">
        <v>307</v>
      </c>
      <c r="C135" s="27" t="s">
        <v>62</v>
      </c>
      <c r="D135" s="27" t="s">
        <v>27</v>
      </c>
      <c r="E135" s="27" t="s">
        <v>93</v>
      </c>
      <c r="F135" s="28">
        <v>2008.86</v>
      </c>
      <c r="G135" s="31">
        <f t="shared" si="8"/>
        <v>2</v>
      </c>
      <c r="H135" s="30">
        <v>10</v>
      </c>
      <c r="I135" s="32">
        <f t="shared" si="9"/>
        <v>4017.72</v>
      </c>
      <c r="J135" s="39" t="s">
        <v>23</v>
      </c>
      <c r="K135" s="33">
        <f t="shared" ca="1" si="10"/>
        <v>45581</v>
      </c>
      <c r="L135" s="45" t="str">
        <f t="shared" si="11"/>
        <v>South</v>
      </c>
    </row>
    <row r="136" spans="1:12" ht="15" customHeight="1" x14ac:dyDescent="0.35">
      <c r="A136" s="43" t="s">
        <v>308</v>
      </c>
      <c r="B136" s="25" t="s">
        <v>309</v>
      </c>
      <c r="C136" s="25" t="s">
        <v>67</v>
      </c>
      <c r="D136" s="25" t="s">
        <v>51</v>
      </c>
      <c r="E136" s="25" t="s">
        <v>93</v>
      </c>
      <c r="F136" s="26">
        <v>1872.71</v>
      </c>
      <c r="G136" s="31">
        <f t="shared" si="8"/>
        <v>3</v>
      </c>
      <c r="H136" s="29">
        <v>90</v>
      </c>
      <c r="I136" s="32">
        <f t="shared" si="9"/>
        <v>5618.13</v>
      </c>
      <c r="J136" s="41" t="s">
        <v>77</v>
      </c>
      <c r="K136" s="33">
        <f t="shared" ca="1" si="10"/>
        <v>45415</v>
      </c>
      <c r="L136" s="45" t="str">
        <f t="shared" si="11"/>
        <v>East</v>
      </c>
    </row>
    <row r="137" spans="1:12" ht="15" customHeight="1" x14ac:dyDescent="0.35">
      <c r="A137" s="44" t="s">
        <v>310</v>
      </c>
      <c r="B137" s="27" t="s">
        <v>311</v>
      </c>
      <c r="C137" s="27" t="s">
        <v>38</v>
      </c>
      <c r="D137" s="27" t="s">
        <v>51</v>
      </c>
      <c r="E137" s="27" t="s">
        <v>22</v>
      </c>
      <c r="F137" s="28">
        <v>168.13</v>
      </c>
      <c r="G137" s="31">
        <f t="shared" si="8"/>
        <v>4</v>
      </c>
      <c r="H137" s="30">
        <v>92</v>
      </c>
      <c r="I137" s="32">
        <f t="shared" si="9"/>
        <v>672.52</v>
      </c>
      <c r="J137" s="38" t="s">
        <v>17</v>
      </c>
      <c r="K137" s="33">
        <f t="shared" ca="1" si="10"/>
        <v>45475</v>
      </c>
      <c r="L137" s="45" t="str">
        <f t="shared" si="11"/>
        <v>West</v>
      </c>
    </row>
    <row r="138" spans="1:12" ht="15" customHeight="1" x14ac:dyDescent="0.35">
      <c r="A138" s="43" t="s">
        <v>312</v>
      </c>
      <c r="B138" s="25" t="s">
        <v>313</v>
      </c>
      <c r="C138" s="25" t="s">
        <v>87</v>
      </c>
      <c r="D138" s="25" t="s">
        <v>27</v>
      </c>
      <c r="E138" s="25" t="s">
        <v>43</v>
      </c>
      <c r="F138" s="26">
        <v>2319</v>
      </c>
      <c r="G138" s="31">
        <f t="shared" si="8"/>
        <v>1</v>
      </c>
      <c r="H138" s="29">
        <v>30</v>
      </c>
      <c r="I138" s="32">
        <f t="shared" si="9"/>
        <v>2319</v>
      </c>
      <c r="J138" s="39" t="s">
        <v>23</v>
      </c>
      <c r="K138" s="33">
        <f t="shared" ca="1" si="10"/>
        <v>45483</v>
      </c>
      <c r="L138" s="45" t="str">
        <f t="shared" si="11"/>
        <v>North</v>
      </c>
    </row>
    <row r="139" spans="1:12" ht="15" customHeight="1" x14ac:dyDescent="0.35">
      <c r="A139" s="44" t="s">
        <v>314</v>
      </c>
      <c r="B139" s="27" t="s">
        <v>315</v>
      </c>
      <c r="C139" s="27" t="s">
        <v>32</v>
      </c>
      <c r="D139" s="27" t="s">
        <v>48</v>
      </c>
      <c r="E139" s="27" t="s">
        <v>88</v>
      </c>
      <c r="F139" s="28">
        <v>3623.11</v>
      </c>
      <c r="G139" s="31">
        <f t="shared" si="8"/>
        <v>2</v>
      </c>
      <c r="H139" s="30">
        <v>87</v>
      </c>
      <c r="I139" s="32">
        <f t="shared" si="9"/>
        <v>7246.22</v>
      </c>
      <c r="J139" s="38" t="s">
        <v>17</v>
      </c>
      <c r="K139" s="33">
        <f t="shared" ca="1" si="10"/>
        <v>45642</v>
      </c>
      <c r="L139" s="45" t="str">
        <f t="shared" si="11"/>
        <v>South</v>
      </c>
    </row>
    <row r="140" spans="1:12" ht="15" customHeight="1" x14ac:dyDescent="0.35">
      <c r="A140" s="43" t="s">
        <v>316</v>
      </c>
      <c r="B140" s="25" t="s">
        <v>317</v>
      </c>
      <c r="C140" s="25" t="s">
        <v>62</v>
      </c>
      <c r="D140" s="25" t="s">
        <v>51</v>
      </c>
      <c r="E140" s="25" t="s">
        <v>22</v>
      </c>
      <c r="F140" s="26">
        <v>1512.88</v>
      </c>
      <c r="G140" s="31">
        <f t="shared" si="8"/>
        <v>3</v>
      </c>
      <c r="H140" s="29">
        <v>82</v>
      </c>
      <c r="I140" s="32">
        <f t="shared" si="9"/>
        <v>4538.6400000000003</v>
      </c>
      <c r="J140" s="41" t="s">
        <v>77</v>
      </c>
      <c r="K140" s="33">
        <f t="shared" ca="1" si="10"/>
        <v>45407</v>
      </c>
      <c r="L140" s="45" t="str">
        <f t="shared" si="11"/>
        <v>East</v>
      </c>
    </row>
    <row r="141" spans="1:12" ht="15" customHeight="1" x14ac:dyDescent="0.35">
      <c r="A141" s="44" t="s">
        <v>318</v>
      </c>
      <c r="B141" s="27" t="s">
        <v>319</v>
      </c>
      <c r="C141" s="27" t="s">
        <v>20</v>
      </c>
      <c r="D141" s="27" t="s">
        <v>27</v>
      </c>
      <c r="E141" s="27" t="s">
        <v>43</v>
      </c>
      <c r="F141" s="28">
        <v>2319.0100000000002</v>
      </c>
      <c r="G141" s="31">
        <f t="shared" si="8"/>
        <v>4</v>
      </c>
      <c r="H141" s="30">
        <v>88</v>
      </c>
      <c r="I141" s="32">
        <f t="shared" si="9"/>
        <v>9276.0400000000009</v>
      </c>
      <c r="J141" s="41" t="s">
        <v>77</v>
      </c>
      <c r="K141" s="33">
        <f t="shared" ca="1" si="10"/>
        <v>45451</v>
      </c>
      <c r="L141" s="45" t="str">
        <f t="shared" si="11"/>
        <v>West</v>
      </c>
    </row>
    <row r="142" spans="1:12" ht="15" customHeight="1" x14ac:dyDescent="0.35">
      <c r="A142" s="43" t="s">
        <v>320</v>
      </c>
      <c r="B142" s="25" t="s">
        <v>321</v>
      </c>
      <c r="C142" s="25" t="s">
        <v>38</v>
      </c>
      <c r="D142" s="25" t="s">
        <v>21</v>
      </c>
      <c r="E142" s="25" t="s">
        <v>93</v>
      </c>
      <c r="F142" s="26">
        <v>1104.79</v>
      </c>
      <c r="G142" s="31">
        <f t="shared" si="8"/>
        <v>1</v>
      </c>
      <c r="H142" s="29">
        <v>22</v>
      </c>
      <c r="I142" s="32">
        <f t="shared" si="9"/>
        <v>1104.79</v>
      </c>
      <c r="J142" s="38" t="s">
        <v>17</v>
      </c>
      <c r="K142" s="33">
        <f t="shared" ca="1" si="10"/>
        <v>45591</v>
      </c>
      <c r="L142" s="45" t="str">
        <f t="shared" si="11"/>
        <v>North</v>
      </c>
    </row>
    <row r="143" spans="1:12" ht="15" customHeight="1" x14ac:dyDescent="0.35">
      <c r="A143" s="44" t="s">
        <v>322</v>
      </c>
      <c r="B143" s="27" t="s">
        <v>323</v>
      </c>
      <c r="C143" s="27" t="s">
        <v>14</v>
      </c>
      <c r="D143" s="27" t="s">
        <v>48</v>
      </c>
      <c r="E143" s="27" t="s">
        <v>88</v>
      </c>
      <c r="F143" s="28">
        <v>3866.21</v>
      </c>
      <c r="G143" s="31">
        <f t="shared" si="8"/>
        <v>2</v>
      </c>
      <c r="H143" s="30">
        <v>18</v>
      </c>
      <c r="I143" s="32">
        <f t="shared" si="9"/>
        <v>7732.42</v>
      </c>
      <c r="J143" s="38" t="s">
        <v>17</v>
      </c>
      <c r="K143" s="33">
        <f t="shared" ca="1" si="10"/>
        <v>45375</v>
      </c>
      <c r="L143" s="45" t="str">
        <f t="shared" si="11"/>
        <v>South</v>
      </c>
    </row>
    <row r="144" spans="1:12" ht="15" customHeight="1" x14ac:dyDescent="0.35">
      <c r="A144" s="43" t="s">
        <v>324</v>
      </c>
      <c r="B144" s="25" t="s">
        <v>325</v>
      </c>
      <c r="C144" s="25" t="s">
        <v>87</v>
      </c>
      <c r="D144" s="25" t="s">
        <v>51</v>
      </c>
      <c r="E144" s="25" t="s">
        <v>28</v>
      </c>
      <c r="F144" s="26">
        <v>311.95</v>
      </c>
      <c r="G144" s="31">
        <f t="shared" si="8"/>
        <v>3</v>
      </c>
      <c r="H144" s="29">
        <v>91</v>
      </c>
      <c r="I144" s="32">
        <f t="shared" si="9"/>
        <v>935.84999999999991</v>
      </c>
      <c r="J144" s="38" t="s">
        <v>17</v>
      </c>
      <c r="K144" s="33">
        <f t="shared" ca="1" si="10"/>
        <v>45568</v>
      </c>
      <c r="L144" s="45" t="str">
        <f t="shared" si="11"/>
        <v>East</v>
      </c>
    </row>
    <row r="145" spans="1:12" ht="15" customHeight="1" x14ac:dyDescent="0.35">
      <c r="A145" s="44" t="s">
        <v>326</v>
      </c>
      <c r="B145" s="27" t="s">
        <v>327</v>
      </c>
      <c r="C145" s="27" t="s">
        <v>14</v>
      </c>
      <c r="D145" s="27" t="s">
        <v>42</v>
      </c>
      <c r="E145" s="27" t="s">
        <v>43</v>
      </c>
      <c r="F145" s="28">
        <v>3529.86</v>
      </c>
      <c r="G145" s="31">
        <f t="shared" si="8"/>
        <v>4</v>
      </c>
      <c r="H145" s="30">
        <v>71</v>
      </c>
      <c r="I145" s="32">
        <f t="shared" si="9"/>
        <v>14119.44</v>
      </c>
      <c r="J145" s="38" t="s">
        <v>17</v>
      </c>
      <c r="K145" s="33">
        <f t="shared" ca="1" si="10"/>
        <v>45458</v>
      </c>
      <c r="L145" s="45" t="str">
        <f t="shared" si="11"/>
        <v>West</v>
      </c>
    </row>
    <row r="146" spans="1:12" ht="15" customHeight="1" x14ac:dyDescent="0.35">
      <c r="A146" s="43" t="s">
        <v>328</v>
      </c>
      <c r="B146" s="25" t="s">
        <v>329</v>
      </c>
      <c r="C146" s="25" t="s">
        <v>80</v>
      </c>
      <c r="D146" s="25" t="s">
        <v>15</v>
      </c>
      <c r="E146" s="25" t="s">
        <v>88</v>
      </c>
      <c r="F146" s="26">
        <v>1900.91</v>
      </c>
      <c r="G146" s="31">
        <f t="shared" si="8"/>
        <v>1</v>
      </c>
      <c r="H146" s="29">
        <v>84</v>
      </c>
      <c r="I146" s="32">
        <f t="shared" si="9"/>
        <v>1900.91</v>
      </c>
      <c r="J146" s="39" t="s">
        <v>23</v>
      </c>
      <c r="K146" s="33">
        <f t="shared" ca="1" si="10"/>
        <v>45425</v>
      </c>
      <c r="L146" s="45" t="str">
        <f t="shared" si="11"/>
        <v>North</v>
      </c>
    </row>
    <row r="147" spans="1:12" ht="15" customHeight="1" x14ac:dyDescent="0.35">
      <c r="A147" s="44" t="s">
        <v>330</v>
      </c>
      <c r="B147" s="27" t="s">
        <v>331</v>
      </c>
      <c r="C147" s="27" t="s">
        <v>80</v>
      </c>
      <c r="D147" s="27" t="s">
        <v>21</v>
      </c>
      <c r="E147" s="27" t="s">
        <v>93</v>
      </c>
      <c r="F147" s="28">
        <v>217.56</v>
      </c>
      <c r="G147" s="31">
        <f t="shared" si="8"/>
        <v>2</v>
      </c>
      <c r="H147" s="30">
        <v>46</v>
      </c>
      <c r="I147" s="32">
        <f t="shared" si="9"/>
        <v>435.12</v>
      </c>
      <c r="J147" s="38" t="s">
        <v>17</v>
      </c>
      <c r="K147" s="33">
        <f t="shared" ca="1" si="10"/>
        <v>45359</v>
      </c>
      <c r="L147" s="45" t="str">
        <f t="shared" si="11"/>
        <v>South</v>
      </c>
    </row>
    <row r="148" spans="1:12" ht="15" customHeight="1" x14ac:dyDescent="0.35">
      <c r="A148" s="43" t="s">
        <v>332</v>
      </c>
      <c r="B148" s="25" t="s">
        <v>333</v>
      </c>
      <c r="C148" s="25" t="s">
        <v>87</v>
      </c>
      <c r="D148" s="25" t="s">
        <v>48</v>
      </c>
      <c r="E148" s="25" t="s">
        <v>93</v>
      </c>
      <c r="F148" s="26">
        <v>4268.8100000000004</v>
      </c>
      <c r="G148" s="31">
        <f t="shared" si="8"/>
        <v>3</v>
      </c>
      <c r="H148" s="29">
        <v>28</v>
      </c>
      <c r="I148" s="32">
        <f t="shared" si="9"/>
        <v>12806.43</v>
      </c>
      <c r="J148" s="38" t="s">
        <v>17</v>
      </c>
      <c r="K148" s="33">
        <f t="shared" ca="1" si="10"/>
        <v>45612</v>
      </c>
      <c r="L148" s="45" t="str">
        <f t="shared" si="11"/>
        <v>East</v>
      </c>
    </row>
    <row r="149" spans="1:12" ht="15" customHeight="1" x14ac:dyDescent="0.35">
      <c r="A149" s="44" t="s">
        <v>334</v>
      </c>
      <c r="B149" s="27" t="s">
        <v>335</v>
      </c>
      <c r="C149" s="27" t="s">
        <v>87</v>
      </c>
      <c r="D149" s="27" t="s">
        <v>15</v>
      </c>
      <c r="E149" s="27" t="s">
        <v>93</v>
      </c>
      <c r="F149" s="28">
        <v>2443.73</v>
      </c>
      <c r="G149" s="31">
        <f t="shared" si="8"/>
        <v>4</v>
      </c>
      <c r="H149" s="30">
        <v>79</v>
      </c>
      <c r="I149" s="32">
        <f t="shared" si="9"/>
        <v>9774.92</v>
      </c>
      <c r="J149" s="41" t="s">
        <v>77</v>
      </c>
      <c r="K149" s="33">
        <f t="shared" ca="1" si="10"/>
        <v>45463</v>
      </c>
      <c r="L149" s="45" t="str">
        <f t="shared" si="11"/>
        <v>West</v>
      </c>
    </row>
    <row r="150" spans="1:12" ht="15" customHeight="1" x14ac:dyDescent="0.35">
      <c r="A150" s="43" t="s">
        <v>336</v>
      </c>
      <c r="B150" s="25" t="s">
        <v>337</v>
      </c>
      <c r="C150" s="25" t="s">
        <v>20</v>
      </c>
      <c r="D150" s="25" t="s">
        <v>15</v>
      </c>
      <c r="E150" s="25" t="s">
        <v>28</v>
      </c>
      <c r="F150" s="26">
        <v>3000.6</v>
      </c>
      <c r="G150" s="31">
        <f t="shared" si="8"/>
        <v>1</v>
      </c>
      <c r="H150" s="29">
        <v>25</v>
      </c>
      <c r="I150" s="32">
        <f t="shared" si="9"/>
        <v>3000.6</v>
      </c>
      <c r="J150" s="38" t="s">
        <v>17</v>
      </c>
      <c r="K150" s="33">
        <f t="shared" ca="1" si="10"/>
        <v>45317</v>
      </c>
      <c r="L150" s="45" t="str">
        <f t="shared" si="11"/>
        <v>North</v>
      </c>
    </row>
    <row r="151" spans="1:12" ht="15" customHeight="1" x14ac:dyDescent="0.35">
      <c r="A151" s="44" t="s">
        <v>338</v>
      </c>
      <c r="B151" s="27" t="s">
        <v>339</v>
      </c>
      <c r="C151" s="27" t="s">
        <v>87</v>
      </c>
      <c r="D151" s="27" t="s">
        <v>21</v>
      </c>
      <c r="E151" s="27" t="s">
        <v>22</v>
      </c>
      <c r="F151" s="28">
        <v>3662.83</v>
      </c>
      <c r="G151" s="31">
        <f t="shared" si="8"/>
        <v>2</v>
      </c>
      <c r="H151" s="30">
        <v>51</v>
      </c>
      <c r="I151" s="32">
        <f t="shared" si="9"/>
        <v>7325.66</v>
      </c>
      <c r="J151" s="41" t="s">
        <v>77</v>
      </c>
      <c r="K151" s="33">
        <f t="shared" ca="1" si="10"/>
        <v>45644</v>
      </c>
      <c r="L151" s="45" t="str">
        <f t="shared" si="11"/>
        <v>South</v>
      </c>
    </row>
    <row r="152" spans="1:12" ht="15" customHeight="1" x14ac:dyDescent="0.35">
      <c r="A152" s="43" t="s">
        <v>340</v>
      </c>
      <c r="B152" s="25" t="s">
        <v>341</v>
      </c>
      <c r="C152" s="25" t="s">
        <v>41</v>
      </c>
      <c r="D152" s="25" t="s">
        <v>51</v>
      </c>
      <c r="E152" s="25" t="s">
        <v>28</v>
      </c>
      <c r="F152" s="26">
        <v>3278.82</v>
      </c>
      <c r="G152" s="31">
        <f t="shared" si="8"/>
        <v>3</v>
      </c>
      <c r="H152" s="29">
        <v>44</v>
      </c>
      <c r="I152" s="32">
        <f t="shared" si="9"/>
        <v>9836.4600000000009</v>
      </c>
      <c r="J152" s="39" t="s">
        <v>23</v>
      </c>
      <c r="K152" s="33">
        <f t="shared" ca="1" si="10"/>
        <v>45989</v>
      </c>
      <c r="L152" s="45" t="str">
        <f t="shared" si="11"/>
        <v>East</v>
      </c>
    </row>
    <row r="153" spans="1:12" ht="15" customHeight="1" x14ac:dyDescent="0.35">
      <c r="A153" s="44" t="s">
        <v>342</v>
      </c>
      <c r="B153" s="27" t="s">
        <v>343</v>
      </c>
      <c r="C153" s="27" t="s">
        <v>14</v>
      </c>
      <c r="D153" s="27" t="s">
        <v>27</v>
      </c>
      <c r="E153" s="27" t="s">
        <v>93</v>
      </c>
      <c r="F153" s="28">
        <v>3656.98</v>
      </c>
      <c r="G153" s="31">
        <f t="shared" si="8"/>
        <v>4</v>
      </c>
      <c r="H153" s="30">
        <v>75</v>
      </c>
      <c r="I153" s="32">
        <f t="shared" si="9"/>
        <v>14627.92</v>
      </c>
      <c r="J153" s="38" t="s">
        <v>17</v>
      </c>
      <c r="K153" s="33">
        <f t="shared" ca="1" si="10"/>
        <v>45704</v>
      </c>
      <c r="L153" s="45" t="str">
        <f t="shared" si="11"/>
        <v>West</v>
      </c>
    </row>
    <row r="154" spans="1:12" ht="15" customHeight="1" x14ac:dyDescent="0.35">
      <c r="A154" s="43" t="s">
        <v>344</v>
      </c>
      <c r="B154" s="25" t="s">
        <v>345</v>
      </c>
      <c r="C154" s="25" t="s">
        <v>62</v>
      </c>
      <c r="D154" s="25" t="s">
        <v>51</v>
      </c>
      <c r="E154" s="25" t="s">
        <v>22</v>
      </c>
      <c r="F154" s="26">
        <v>3813.79</v>
      </c>
      <c r="G154" s="31">
        <f t="shared" si="8"/>
        <v>1</v>
      </c>
      <c r="H154" s="29">
        <v>42</v>
      </c>
      <c r="I154" s="32">
        <f t="shared" si="9"/>
        <v>3813.79</v>
      </c>
      <c r="J154" s="38" t="s">
        <v>17</v>
      </c>
      <c r="K154" s="33">
        <f t="shared" ca="1" si="10"/>
        <v>45989</v>
      </c>
      <c r="L154" s="45" t="str">
        <f t="shared" si="11"/>
        <v>North</v>
      </c>
    </row>
    <row r="155" spans="1:12" ht="15" customHeight="1" x14ac:dyDescent="0.35">
      <c r="A155" s="44" t="s">
        <v>346</v>
      </c>
      <c r="B155" s="27" t="s">
        <v>347</v>
      </c>
      <c r="C155" s="27" t="s">
        <v>26</v>
      </c>
      <c r="D155" s="27" t="s">
        <v>21</v>
      </c>
      <c r="E155" s="27" t="s">
        <v>16</v>
      </c>
      <c r="F155" s="28">
        <v>2949.87</v>
      </c>
      <c r="G155" s="31">
        <f t="shared" si="8"/>
        <v>2</v>
      </c>
      <c r="H155" s="30">
        <v>57</v>
      </c>
      <c r="I155" s="32">
        <f t="shared" si="9"/>
        <v>5899.74</v>
      </c>
      <c r="J155" s="38" t="s">
        <v>17</v>
      </c>
      <c r="K155" s="33">
        <f t="shared" ca="1" si="10"/>
        <v>45989</v>
      </c>
      <c r="L155" s="45" t="str">
        <f t="shared" si="11"/>
        <v>South</v>
      </c>
    </row>
    <row r="156" spans="1:12" ht="15" customHeight="1" x14ac:dyDescent="0.35">
      <c r="A156" s="43" t="s">
        <v>348</v>
      </c>
      <c r="B156" s="25" t="s">
        <v>349</v>
      </c>
      <c r="C156" s="25" t="s">
        <v>87</v>
      </c>
      <c r="D156" s="25" t="s">
        <v>33</v>
      </c>
      <c r="E156" s="25" t="s">
        <v>22</v>
      </c>
      <c r="F156" s="26">
        <v>1834.53</v>
      </c>
      <c r="G156" s="31">
        <f t="shared" si="8"/>
        <v>3</v>
      </c>
      <c r="H156" s="29">
        <v>57</v>
      </c>
      <c r="I156" s="32">
        <f t="shared" si="9"/>
        <v>5503.59</v>
      </c>
      <c r="J156" s="38" t="s">
        <v>17</v>
      </c>
      <c r="K156" s="33">
        <f t="shared" ca="1" si="10"/>
        <v>45702</v>
      </c>
      <c r="L156" s="45" t="str">
        <f t="shared" si="11"/>
        <v>East</v>
      </c>
    </row>
    <row r="157" spans="1:12" ht="15" customHeight="1" x14ac:dyDescent="0.35">
      <c r="A157" s="44" t="s">
        <v>350</v>
      </c>
      <c r="B157" s="27" t="s">
        <v>351</v>
      </c>
      <c r="C157" s="27" t="s">
        <v>32</v>
      </c>
      <c r="D157" s="27" t="s">
        <v>15</v>
      </c>
      <c r="E157" s="27" t="s">
        <v>88</v>
      </c>
      <c r="F157" s="28">
        <v>1223.28</v>
      </c>
      <c r="G157" s="31">
        <f t="shared" si="8"/>
        <v>4</v>
      </c>
      <c r="H157" s="30">
        <v>39</v>
      </c>
      <c r="I157" s="32">
        <f t="shared" si="9"/>
        <v>4893.12</v>
      </c>
      <c r="J157" s="39" t="s">
        <v>23</v>
      </c>
      <c r="K157" s="33">
        <f t="shared" ca="1" si="10"/>
        <v>45964</v>
      </c>
      <c r="L157" s="45" t="str">
        <f t="shared" si="11"/>
        <v>West</v>
      </c>
    </row>
    <row r="158" spans="1:12" ht="15" customHeight="1" x14ac:dyDescent="0.35">
      <c r="A158" s="43" t="s">
        <v>352</v>
      </c>
      <c r="B158" s="25" t="s">
        <v>353</v>
      </c>
      <c r="C158" s="25" t="s">
        <v>80</v>
      </c>
      <c r="D158" s="25" t="s">
        <v>27</v>
      </c>
      <c r="E158" s="25" t="s">
        <v>16</v>
      </c>
      <c r="F158" s="26">
        <v>4515.49</v>
      </c>
      <c r="G158" s="31">
        <f t="shared" si="8"/>
        <v>1</v>
      </c>
      <c r="H158" s="29">
        <v>64</v>
      </c>
      <c r="I158" s="32">
        <f t="shared" si="9"/>
        <v>4515.49</v>
      </c>
      <c r="J158" s="38" t="s">
        <v>17</v>
      </c>
      <c r="K158" s="33">
        <f t="shared" ca="1" si="10"/>
        <v>45975</v>
      </c>
      <c r="L158" s="45" t="str">
        <f t="shared" si="11"/>
        <v>North</v>
      </c>
    </row>
    <row r="159" spans="1:12" ht="15" customHeight="1" x14ac:dyDescent="0.35">
      <c r="A159" s="44" t="s">
        <v>354</v>
      </c>
      <c r="B159" s="27" t="s">
        <v>355</v>
      </c>
      <c r="C159" s="27" t="s">
        <v>41</v>
      </c>
      <c r="D159" s="27" t="s">
        <v>27</v>
      </c>
      <c r="E159" s="27" t="s">
        <v>28</v>
      </c>
      <c r="F159" s="28">
        <v>4849.92</v>
      </c>
      <c r="G159" s="31">
        <f t="shared" si="8"/>
        <v>2</v>
      </c>
      <c r="H159" s="30">
        <v>95</v>
      </c>
      <c r="I159" s="32">
        <f t="shared" si="9"/>
        <v>9699.84</v>
      </c>
      <c r="J159" s="40" t="s">
        <v>29</v>
      </c>
      <c r="K159" s="33">
        <f t="shared" ca="1" si="10"/>
        <v>45872</v>
      </c>
      <c r="L159" s="45" t="str">
        <f t="shared" si="11"/>
        <v>South</v>
      </c>
    </row>
    <row r="160" spans="1:12" ht="15" customHeight="1" x14ac:dyDescent="0.35">
      <c r="A160" s="43" t="s">
        <v>356</v>
      </c>
      <c r="B160" s="25" t="s">
        <v>357</v>
      </c>
      <c r="C160" s="25" t="s">
        <v>38</v>
      </c>
      <c r="D160" s="25" t="s">
        <v>15</v>
      </c>
      <c r="E160" s="25" t="s">
        <v>16</v>
      </c>
      <c r="F160" s="26">
        <v>1794.74</v>
      </c>
      <c r="G160" s="31">
        <f t="shared" si="8"/>
        <v>3</v>
      </c>
      <c r="H160" s="29">
        <v>45</v>
      </c>
      <c r="I160" s="32">
        <f t="shared" si="9"/>
        <v>5384.22</v>
      </c>
      <c r="J160" s="39" t="s">
        <v>23</v>
      </c>
      <c r="K160" s="33">
        <f t="shared" ca="1" si="10"/>
        <v>45772</v>
      </c>
      <c r="L160" s="45" t="str">
        <f t="shared" si="11"/>
        <v>East</v>
      </c>
    </row>
    <row r="161" spans="1:12" ht="15" customHeight="1" x14ac:dyDescent="0.35">
      <c r="A161" s="44" t="s">
        <v>358</v>
      </c>
      <c r="B161" s="27" t="s">
        <v>359</v>
      </c>
      <c r="C161" s="27" t="s">
        <v>26</v>
      </c>
      <c r="D161" s="27" t="s">
        <v>72</v>
      </c>
      <c r="E161" s="27" t="s">
        <v>93</v>
      </c>
      <c r="F161" s="28">
        <v>570.42999999999995</v>
      </c>
      <c r="G161" s="31">
        <f t="shared" si="8"/>
        <v>4</v>
      </c>
      <c r="H161" s="30">
        <v>86</v>
      </c>
      <c r="I161" s="32">
        <f t="shared" si="9"/>
        <v>2281.7199999999998</v>
      </c>
      <c r="J161" s="38" t="s">
        <v>17</v>
      </c>
      <c r="K161" s="33">
        <f t="shared" ca="1" si="10"/>
        <v>45873</v>
      </c>
      <c r="L161" s="45" t="str">
        <f t="shared" si="11"/>
        <v>West</v>
      </c>
    </row>
    <row r="162" spans="1:12" ht="15" customHeight="1" x14ac:dyDescent="0.35">
      <c r="A162" s="43" t="s">
        <v>360</v>
      </c>
      <c r="B162" s="25" t="s">
        <v>361</v>
      </c>
      <c r="C162" s="25" t="s">
        <v>62</v>
      </c>
      <c r="D162" s="25" t="s">
        <v>42</v>
      </c>
      <c r="E162" s="25" t="s">
        <v>28</v>
      </c>
      <c r="F162" s="26">
        <v>1120.46</v>
      </c>
      <c r="G162" s="31">
        <f t="shared" si="8"/>
        <v>1</v>
      </c>
      <c r="H162" s="29">
        <v>79</v>
      </c>
      <c r="I162" s="32">
        <f t="shared" si="9"/>
        <v>1120.46</v>
      </c>
      <c r="J162" s="41" t="s">
        <v>77</v>
      </c>
      <c r="K162" s="33">
        <f t="shared" ca="1" si="10"/>
        <v>45729</v>
      </c>
      <c r="L162" s="45" t="str">
        <f t="shared" si="11"/>
        <v>North</v>
      </c>
    </row>
    <row r="163" spans="1:12" ht="15" customHeight="1" x14ac:dyDescent="0.35">
      <c r="A163" s="44" t="s">
        <v>362</v>
      </c>
      <c r="B163" s="27" t="s">
        <v>363</v>
      </c>
      <c r="C163" s="27" t="s">
        <v>26</v>
      </c>
      <c r="D163" s="27" t="s">
        <v>15</v>
      </c>
      <c r="E163" s="27" t="s">
        <v>28</v>
      </c>
      <c r="F163" s="28">
        <v>3356.63</v>
      </c>
      <c r="G163" s="31">
        <f t="shared" si="8"/>
        <v>2</v>
      </c>
      <c r="H163" s="30">
        <v>89</v>
      </c>
      <c r="I163" s="32">
        <f t="shared" si="9"/>
        <v>6713.26</v>
      </c>
      <c r="J163" s="39" t="s">
        <v>23</v>
      </c>
      <c r="K163" s="33">
        <f t="shared" ca="1" si="10"/>
        <v>45755</v>
      </c>
      <c r="L163" s="45" t="str">
        <f t="shared" si="11"/>
        <v>South</v>
      </c>
    </row>
    <row r="164" spans="1:12" ht="15" customHeight="1" x14ac:dyDescent="0.35">
      <c r="A164" s="43" t="s">
        <v>364</v>
      </c>
      <c r="B164" s="25" t="s">
        <v>365</v>
      </c>
      <c r="C164" s="25" t="s">
        <v>87</v>
      </c>
      <c r="D164" s="25" t="s">
        <v>51</v>
      </c>
      <c r="E164" s="25" t="s">
        <v>88</v>
      </c>
      <c r="F164" s="26">
        <v>872.94</v>
      </c>
      <c r="G164" s="31">
        <f t="shared" si="8"/>
        <v>3</v>
      </c>
      <c r="H164" s="29">
        <v>41</v>
      </c>
      <c r="I164" s="32">
        <f t="shared" si="9"/>
        <v>2618.8200000000002</v>
      </c>
      <c r="J164" s="38" t="s">
        <v>17</v>
      </c>
      <c r="K164" s="33">
        <f t="shared" ca="1" si="10"/>
        <v>45683</v>
      </c>
      <c r="L164" s="45" t="str">
        <f t="shared" si="11"/>
        <v>East</v>
      </c>
    </row>
    <row r="165" spans="1:12" ht="15" customHeight="1" x14ac:dyDescent="0.35">
      <c r="A165" s="44" t="s">
        <v>366</v>
      </c>
      <c r="B165" s="27" t="s">
        <v>367</v>
      </c>
      <c r="C165" s="27" t="s">
        <v>20</v>
      </c>
      <c r="D165" s="27" t="s">
        <v>72</v>
      </c>
      <c r="E165" s="27" t="s">
        <v>43</v>
      </c>
      <c r="F165" s="28">
        <v>3902.81</v>
      </c>
      <c r="G165" s="31">
        <f t="shared" si="8"/>
        <v>4</v>
      </c>
      <c r="H165" s="30">
        <v>34</v>
      </c>
      <c r="I165" s="32">
        <f t="shared" si="9"/>
        <v>15611.24</v>
      </c>
      <c r="J165" s="41" t="s">
        <v>77</v>
      </c>
      <c r="K165" s="33">
        <f t="shared" ca="1" si="10"/>
        <v>45699</v>
      </c>
      <c r="L165" s="45" t="str">
        <f t="shared" si="11"/>
        <v>West</v>
      </c>
    </row>
    <row r="166" spans="1:12" ht="15" customHeight="1" x14ac:dyDescent="0.35">
      <c r="A166" s="43" t="s">
        <v>368</v>
      </c>
      <c r="B166" s="25" t="s">
        <v>369</v>
      </c>
      <c r="C166" s="25" t="s">
        <v>80</v>
      </c>
      <c r="D166" s="25" t="s">
        <v>21</v>
      </c>
      <c r="E166" s="25" t="s">
        <v>16</v>
      </c>
      <c r="F166" s="26">
        <v>4615.92</v>
      </c>
      <c r="G166" s="31">
        <f t="shared" si="8"/>
        <v>1</v>
      </c>
      <c r="H166" s="29">
        <v>80</v>
      </c>
      <c r="I166" s="32">
        <f t="shared" si="9"/>
        <v>4615.92</v>
      </c>
      <c r="J166" s="38" t="s">
        <v>17</v>
      </c>
      <c r="K166" s="33">
        <f t="shared" ca="1" si="10"/>
        <v>45937</v>
      </c>
      <c r="L166" s="45" t="str">
        <f t="shared" si="11"/>
        <v>North</v>
      </c>
    </row>
    <row r="167" spans="1:12" ht="15" customHeight="1" x14ac:dyDescent="0.35">
      <c r="A167" s="44" t="s">
        <v>370</v>
      </c>
      <c r="B167" s="27" t="s">
        <v>371</v>
      </c>
      <c r="C167" s="27" t="s">
        <v>80</v>
      </c>
      <c r="D167" s="27" t="s">
        <v>72</v>
      </c>
      <c r="E167" s="27" t="s">
        <v>88</v>
      </c>
      <c r="F167" s="28">
        <v>4818.62</v>
      </c>
      <c r="G167" s="31">
        <f t="shared" si="8"/>
        <v>2</v>
      </c>
      <c r="H167" s="30">
        <v>28</v>
      </c>
      <c r="I167" s="32">
        <f t="shared" si="9"/>
        <v>9637.24</v>
      </c>
      <c r="J167" s="38" t="s">
        <v>17</v>
      </c>
      <c r="K167" s="33">
        <f t="shared" ca="1" si="10"/>
        <v>45864</v>
      </c>
      <c r="L167" s="45" t="str">
        <f t="shared" si="11"/>
        <v>South</v>
      </c>
    </row>
    <row r="168" spans="1:12" ht="15" customHeight="1" x14ac:dyDescent="0.35">
      <c r="A168" s="43" t="s">
        <v>372</v>
      </c>
      <c r="B168" s="25" t="s">
        <v>373</v>
      </c>
      <c r="C168" s="25" t="s">
        <v>38</v>
      </c>
      <c r="D168" s="25" t="s">
        <v>42</v>
      </c>
      <c r="E168" s="25" t="s">
        <v>28</v>
      </c>
      <c r="F168" s="26">
        <v>56.53</v>
      </c>
      <c r="G168" s="31">
        <f t="shared" si="8"/>
        <v>3</v>
      </c>
      <c r="H168" s="29">
        <v>61</v>
      </c>
      <c r="I168" s="32">
        <f t="shared" si="9"/>
        <v>169.59</v>
      </c>
      <c r="J168" s="38" t="s">
        <v>17</v>
      </c>
      <c r="K168" s="33">
        <f t="shared" ca="1" si="10"/>
        <v>45863</v>
      </c>
      <c r="L168" s="45" t="str">
        <f t="shared" si="11"/>
        <v>East</v>
      </c>
    </row>
    <row r="169" spans="1:12" ht="15" customHeight="1" x14ac:dyDescent="0.35">
      <c r="A169" s="44" t="s">
        <v>374</v>
      </c>
      <c r="B169" s="27" t="s">
        <v>375</v>
      </c>
      <c r="C169" s="27" t="s">
        <v>20</v>
      </c>
      <c r="D169" s="27" t="s">
        <v>27</v>
      </c>
      <c r="E169" s="27" t="s">
        <v>43</v>
      </c>
      <c r="F169" s="28">
        <v>4791.1899999999996</v>
      </c>
      <c r="G169" s="31">
        <f t="shared" si="8"/>
        <v>4</v>
      </c>
      <c r="H169" s="30">
        <v>55</v>
      </c>
      <c r="I169" s="32">
        <f t="shared" si="9"/>
        <v>19164.759999999998</v>
      </c>
      <c r="J169" s="39" t="s">
        <v>23</v>
      </c>
      <c r="K169" s="33">
        <f t="shared" ca="1" si="10"/>
        <v>45750</v>
      </c>
      <c r="L169" s="45" t="str">
        <f t="shared" si="11"/>
        <v>West</v>
      </c>
    </row>
    <row r="170" spans="1:12" ht="15" customHeight="1" x14ac:dyDescent="0.35">
      <c r="A170" s="43" t="s">
        <v>376</v>
      </c>
      <c r="B170" s="25" t="s">
        <v>377</v>
      </c>
      <c r="C170" s="25" t="s">
        <v>14</v>
      </c>
      <c r="D170" s="25" t="s">
        <v>21</v>
      </c>
      <c r="E170" s="25" t="s">
        <v>43</v>
      </c>
      <c r="F170" s="26">
        <v>3703.57</v>
      </c>
      <c r="G170" s="31">
        <f t="shared" si="8"/>
        <v>1</v>
      </c>
      <c r="H170" s="29">
        <v>63</v>
      </c>
      <c r="I170" s="32">
        <f t="shared" si="9"/>
        <v>3703.57</v>
      </c>
      <c r="J170" s="38" t="s">
        <v>17</v>
      </c>
      <c r="K170" s="33">
        <f t="shared" ca="1" si="10"/>
        <v>45682</v>
      </c>
      <c r="L170" s="45" t="str">
        <f t="shared" si="11"/>
        <v>North</v>
      </c>
    </row>
    <row r="171" spans="1:12" ht="15" customHeight="1" x14ac:dyDescent="0.35">
      <c r="A171" s="44" t="s">
        <v>378</v>
      </c>
      <c r="B171" s="27" t="s">
        <v>379</v>
      </c>
      <c r="C171" s="27" t="s">
        <v>67</v>
      </c>
      <c r="D171" s="27" t="s">
        <v>42</v>
      </c>
      <c r="E171" s="27" t="s">
        <v>43</v>
      </c>
      <c r="F171" s="28">
        <v>429.41</v>
      </c>
      <c r="G171" s="31">
        <f t="shared" si="8"/>
        <v>2</v>
      </c>
      <c r="H171" s="30">
        <v>27</v>
      </c>
      <c r="I171" s="32">
        <f t="shared" si="9"/>
        <v>858.82</v>
      </c>
      <c r="J171" s="41" t="s">
        <v>77</v>
      </c>
      <c r="K171" s="33">
        <f t="shared" ca="1" si="10"/>
        <v>45948</v>
      </c>
      <c r="L171" s="45" t="str">
        <f t="shared" si="11"/>
        <v>South</v>
      </c>
    </row>
    <row r="172" spans="1:12" ht="15" customHeight="1" x14ac:dyDescent="0.35">
      <c r="A172" s="43" t="s">
        <v>380</v>
      </c>
      <c r="B172" s="25" t="s">
        <v>381</v>
      </c>
      <c r="C172" s="25" t="s">
        <v>41</v>
      </c>
      <c r="D172" s="25" t="s">
        <v>33</v>
      </c>
      <c r="E172" s="25" t="s">
        <v>28</v>
      </c>
      <c r="F172" s="26">
        <v>2082.0500000000002</v>
      </c>
      <c r="G172" s="31">
        <f t="shared" si="8"/>
        <v>3</v>
      </c>
      <c r="H172" s="29">
        <v>97</v>
      </c>
      <c r="I172" s="32">
        <f t="shared" si="9"/>
        <v>6246.1500000000005</v>
      </c>
      <c r="J172" s="38" t="s">
        <v>17</v>
      </c>
      <c r="K172" s="33">
        <f t="shared" ca="1" si="10"/>
        <v>45770</v>
      </c>
      <c r="L172" s="45" t="str">
        <f t="shared" si="11"/>
        <v>East</v>
      </c>
    </row>
    <row r="173" spans="1:12" ht="15" customHeight="1" x14ac:dyDescent="0.35">
      <c r="A173" s="44" t="s">
        <v>382</v>
      </c>
      <c r="B173" s="27" t="s">
        <v>383</v>
      </c>
      <c r="C173" s="27" t="s">
        <v>80</v>
      </c>
      <c r="D173" s="27" t="s">
        <v>21</v>
      </c>
      <c r="E173" s="27" t="s">
        <v>22</v>
      </c>
      <c r="F173" s="28">
        <v>3503.23</v>
      </c>
      <c r="G173" s="31">
        <f t="shared" si="8"/>
        <v>4</v>
      </c>
      <c r="H173" s="30">
        <v>71</v>
      </c>
      <c r="I173" s="32">
        <f t="shared" si="9"/>
        <v>14012.92</v>
      </c>
      <c r="J173" s="38" t="s">
        <v>17</v>
      </c>
      <c r="K173" s="33">
        <f t="shared" ca="1" si="10"/>
        <v>45769</v>
      </c>
      <c r="L173" s="45" t="str">
        <f t="shared" si="11"/>
        <v>West</v>
      </c>
    </row>
    <row r="174" spans="1:12" ht="15" customHeight="1" x14ac:dyDescent="0.35">
      <c r="A174" s="43" t="s">
        <v>384</v>
      </c>
      <c r="B174" s="25" t="s">
        <v>385</v>
      </c>
      <c r="C174" s="25" t="s">
        <v>32</v>
      </c>
      <c r="D174" s="25" t="s">
        <v>42</v>
      </c>
      <c r="E174" s="25" t="s">
        <v>93</v>
      </c>
      <c r="F174" s="26">
        <v>4783.8599999999997</v>
      </c>
      <c r="G174" s="31">
        <f t="shared" si="8"/>
        <v>1</v>
      </c>
      <c r="H174" s="29">
        <v>76</v>
      </c>
      <c r="I174" s="32">
        <f t="shared" si="9"/>
        <v>4783.8599999999997</v>
      </c>
      <c r="J174" s="39" t="s">
        <v>23</v>
      </c>
      <c r="K174" s="33">
        <f t="shared" ca="1" si="10"/>
        <v>45927</v>
      </c>
      <c r="L174" s="45" t="str">
        <f t="shared" si="11"/>
        <v>North</v>
      </c>
    </row>
    <row r="175" spans="1:12" ht="15" customHeight="1" x14ac:dyDescent="0.35">
      <c r="A175" s="44" t="s">
        <v>386</v>
      </c>
      <c r="B175" s="27" t="s">
        <v>387</v>
      </c>
      <c r="C175" s="27" t="s">
        <v>80</v>
      </c>
      <c r="D175" s="27" t="s">
        <v>42</v>
      </c>
      <c r="E175" s="27" t="s">
        <v>16</v>
      </c>
      <c r="F175" s="28">
        <v>829.07</v>
      </c>
      <c r="G175" s="31">
        <f t="shared" si="8"/>
        <v>2</v>
      </c>
      <c r="H175" s="30">
        <v>78</v>
      </c>
      <c r="I175" s="32">
        <f t="shared" si="9"/>
        <v>1658.14</v>
      </c>
      <c r="J175" s="38" t="s">
        <v>17</v>
      </c>
      <c r="K175" s="33">
        <f t="shared" ca="1" si="10"/>
        <v>45976</v>
      </c>
      <c r="L175" s="45" t="str">
        <f t="shared" si="11"/>
        <v>South</v>
      </c>
    </row>
    <row r="176" spans="1:12" ht="15" customHeight="1" x14ac:dyDescent="0.35">
      <c r="A176" s="43" t="s">
        <v>388</v>
      </c>
      <c r="B176" s="25" t="s">
        <v>389</v>
      </c>
      <c r="C176" s="25" t="s">
        <v>26</v>
      </c>
      <c r="D176" s="25" t="s">
        <v>72</v>
      </c>
      <c r="E176" s="25" t="s">
        <v>16</v>
      </c>
      <c r="F176" s="26">
        <v>647.39</v>
      </c>
      <c r="G176" s="31">
        <f t="shared" si="8"/>
        <v>3</v>
      </c>
      <c r="H176" s="29">
        <v>98</v>
      </c>
      <c r="I176" s="32">
        <f t="shared" si="9"/>
        <v>1942.17</v>
      </c>
      <c r="J176" s="38" t="s">
        <v>17</v>
      </c>
      <c r="K176" s="33">
        <f t="shared" ca="1" si="10"/>
        <v>45762</v>
      </c>
      <c r="L176" s="45" t="str">
        <f t="shared" si="11"/>
        <v>East</v>
      </c>
    </row>
    <row r="177" spans="1:12" ht="15" customHeight="1" x14ac:dyDescent="0.35">
      <c r="A177" s="44" t="s">
        <v>390</v>
      </c>
      <c r="B177" s="27" t="s">
        <v>391</v>
      </c>
      <c r="C177" s="27" t="s">
        <v>80</v>
      </c>
      <c r="D177" s="27" t="s">
        <v>27</v>
      </c>
      <c r="E177" s="27" t="s">
        <v>16</v>
      </c>
      <c r="F177" s="28">
        <v>2367.0100000000002</v>
      </c>
      <c r="G177" s="31">
        <f t="shared" si="8"/>
        <v>4</v>
      </c>
      <c r="H177" s="30">
        <v>83</v>
      </c>
      <c r="I177" s="32">
        <f t="shared" si="9"/>
        <v>9468.0400000000009</v>
      </c>
      <c r="J177" s="38" t="s">
        <v>17</v>
      </c>
      <c r="K177" s="33">
        <f t="shared" ca="1" si="10"/>
        <v>46010</v>
      </c>
      <c r="L177" s="45" t="str">
        <f t="shared" si="11"/>
        <v>West</v>
      </c>
    </row>
    <row r="178" spans="1:12" ht="15" customHeight="1" x14ac:dyDescent="0.35">
      <c r="A178" s="43" t="s">
        <v>392</v>
      </c>
      <c r="B178" s="25" t="s">
        <v>393</v>
      </c>
      <c r="C178" s="25" t="s">
        <v>80</v>
      </c>
      <c r="D178" s="25" t="s">
        <v>27</v>
      </c>
      <c r="E178" s="25" t="s">
        <v>93</v>
      </c>
      <c r="F178" s="26">
        <v>4840.8100000000004</v>
      </c>
      <c r="G178" s="31">
        <f t="shared" si="8"/>
        <v>1</v>
      </c>
      <c r="H178" s="29">
        <v>80</v>
      </c>
      <c r="I178" s="32">
        <f t="shared" si="9"/>
        <v>4840.8100000000004</v>
      </c>
      <c r="J178" s="40" t="s">
        <v>29</v>
      </c>
      <c r="K178" s="33">
        <f t="shared" ca="1" si="10"/>
        <v>45975</v>
      </c>
      <c r="L178" s="45" t="str">
        <f t="shared" si="11"/>
        <v>North</v>
      </c>
    </row>
    <row r="179" spans="1:12" ht="15" customHeight="1" x14ac:dyDescent="0.35">
      <c r="A179" s="44" t="s">
        <v>394</v>
      </c>
      <c r="B179" s="27" t="s">
        <v>395</v>
      </c>
      <c r="C179" s="27" t="s">
        <v>67</v>
      </c>
      <c r="D179" s="27" t="s">
        <v>21</v>
      </c>
      <c r="E179" s="27" t="s">
        <v>43</v>
      </c>
      <c r="F179" s="28">
        <v>4857.18</v>
      </c>
      <c r="G179" s="31">
        <f t="shared" si="8"/>
        <v>2</v>
      </c>
      <c r="H179" s="30">
        <v>56</v>
      </c>
      <c r="I179" s="32">
        <f t="shared" si="9"/>
        <v>9714.36</v>
      </c>
      <c r="J179" s="38" t="s">
        <v>17</v>
      </c>
      <c r="K179" s="33">
        <f t="shared" ca="1" si="10"/>
        <v>45731</v>
      </c>
      <c r="L179" s="45" t="str">
        <f t="shared" si="11"/>
        <v>South</v>
      </c>
    </row>
    <row r="180" spans="1:12" ht="15" customHeight="1" x14ac:dyDescent="0.35">
      <c r="A180" s="43" t="s">
        <v>396</v>
      </c>
      <c r="B180" s="25" t="s">
        <v>397</v>
      </c>
      <c r="C180" s="25" t="s">
        <v>67</v>
      </c>
      <c r="D180" s="25" t="s">
        <v>15</v>
      </c>
      <c r="E180" s="25" t="s">
        <v>88</v>
      </c>
      <c r="F180" s="26">
        <v>1147.29</v>
      </c>
      <c r="G180" s="31">
        <f t="shared" si="8"/>
        <v>3</v>
      </c>
      <c r="H180" s="29">
        <v>33</v>
      </c>
      <c r="I180" s="32">
        <f t="shared" si="9"/>
        <v>3441.87</v>
      </c>
      <c r="J180" s="38" t="s">
        <v>17</v>
      </c>
      <c r="K180" s="33">
        <f t="shared" ca="1" si="10"/>
        <v>45948</v>
      </c>
      <c r="L180" s="45" t="str">
        <f t="shared" si="11"/>
        <v>East</v>
      </c>
    </row>
    <row r="181" spans="1:12" ht="15" customHeight="1" x14ac:dyDescent="0.35">
      <c r="A181" s="44" t="s">
        <v>398</v>
      </c>
      <c r="B181" s="27" t="s">
        <v>399</v>
      </c>
      <c r="C181" s="27" t="s">
        <v>62</v>
      </c>
      <c r="D181" s="27" t="s">
        <v>27</v>
      </c>
      <c r="E181" s="27" t="s">
        <v>93</v>
      </c>
      <c r="F181" s="28">
        <v>1603.54</v>
      </c>
      <c r="G181" s="31">
        <f t="shared" si="8"/>
        <v>4</v>
      </c>
      <c r="H181" s="30">
        <v>32</v>
      </c>
      <c r="I181" s="32">
        <f t="shared" si="9"/>
        <v>6414.16</v>
      </c>
      <c r="J181" s="38" t="s">
        <v>17</v>
      </c>
      <c r="K181" s="33">
        <f t="shared" ca="1" si="10"/>
        <v>46010</v>
      </c>
      <c r="L181" s="45" t="str">
        <f t="shared" si="11"/>
        <v>West</v>
      </c>
    </row>
    <row r="182" spans="1:12" ht="15" customHeight="1" x14ac:dyDescent="0.35">
      <c r="A182" s="43" t="s">
        <v>400</v>
      </c>
      <c r="B182" s="25" t="s">
        <v>401</v>
      </c>
      <c r="C182" s="25" t="s">
        <v>14</v>
      </c>
      <c r="D182" s="25" t="s">
        <v>21</v>
      </c>
      <c r="E182" s="25" t="s">
        <v>93</v>
      </c>
      <c r="F182" s="26">
        <v>4541.08</v>
      </c>
      <c r="G182" s="31">
        <f t="shared" si="8"/>
        <v>1</v>
      </c>
      <c r="H182" s="29">
        <v>33</v>
      </c>
      <c r="I182" s="32">
        <f t="shared" si="9"/>
        <v>4541.08</v>
      </c>
      <c r="J182" s="38" t="s">
        <v>17</v>
      </c>
      <c r="K182" s="33">
        <f t="shared" ca="1" si="10"/>
        <v>45924</v>
      </c>
      <c r="L182" s="45" t="str">
        <f t="shared" si="11"/>
        <v>North</v>
      </c>
    </row>
    <row r="183" spans="1:12" ht="15" customHeight="1" x14ac:dyDescent="0.35">
      <c r="A183" s="44" t="s">
        <v>402</v>
      </c>
      <c r="B183" s="27" t="s">
        <v>403</v>
      </c>
      <c r="C183" s="27" t="s">
        <v>32</v>
      </c>
      <c r="D183" s="27" t="s">
        <v>51</v>
      </c>
      <c r="E183" s="27" t="s">
        <v>22</v>
      </c>
      <c r="F183" s="28">
        <v>3676.86</v>
      </c>
      <c r="G183" s="31">
        <f t="shared" si="8"/>
        <v>2</v>
      </c>
      <c r="H183" s="30">
        <v>40</v>
      </c>
      <c r="I183" s="32">
        <f t="shared" si="9"/>
        <v>7353.72</v>
      </c>
      <c r="J183" s="39" t="s">
        <v>23</v>
      </c>
      <c r="K183" s="33">
        <f t="shared" ca="1" si="10"/>
        <v>45756</v>
      </c>
      <c r="L183" s="45" t="str">
        <f t="shared" si="11"/>
        <v>South</v>
      </c>
    </row>
    <row r="184" spans="1:12" ht="15" customHeight="1" x14ac:dyDescent="0.35">
      <c r="A184" s="43" t="s">
        <v>404</v>
      </c>
      <c r="B184" s="25" t="s">
        <v>405</v>
      </c>
      <c r="C184" s="25" t="s">
        <v>80</v>
      </c>
      <c r="D184" s="25" t="s">
        <v>48</v>
      </c>
      <c r="E184" s="25" t="s">
        <v>43</v>
      </c>
      <c r="F184" s="26">
        <v>4861.8599999999997</v>
      </c>
      <c r="G184" s="31">
        <f t="shared" si="8"/>
        <v>3</v>
      </c>
      <c r="H184" s="29">
        <v>65</v>
      </c>
      <c r="I184" s="32">
        <f t="shared" si="9"/>
        <v>14585.579999999998</v>
      </c>
      <c r="J184" s="41" t="s">
        <v>77</v>
      </c>
      <c r="K184" s="33">
        <f t="shared" ca="1" si="10"/>
        <v>45773</v>
      </c>
      <c r="L184" s="45" t="str">
        <f t="shared" si="11"/>
        <v>East</v>
      </c>
    </row>
    <row r="185" spans="1:12" ht="15" customHeight="1" x14ac:dyDescent="0.35">
      <c r="A185" s="44" t="s">
        <v>406</v>
      </c>
      <c r="B185" s="27" t="s">
        <v>407</v>
      </c>
      <c r="C185" s="27" t="s">
        <v>80</v>
      </c>
      <c r="D185" s="27" t="s">
        <v>51</v>
      </c>
      <c r="E185" s="27" t="s">
        <v>43</v>
      </c>
      <c r="F185" s="28">
        <v>4466.8100000000004</v>
      </c>
      <c r="G185" s="31">
        <f t="shared" si="8"/>
        <v>4</v>
      </c>
      <c r="H185" s="30">
        <v>27</v>
      </c>
      <c r="I185" s="32">
        <f t="shared" si="9"/>
        <v>17867.240000000002</v>
      </c>
      <c r="J185" s="38" t="s">
        <v>17</v>
      </c>
      <c r="K185" s="33">
        <f t="shared" ca="1" si="10"/>
        <v>45722</v>
      </c>
      <c r="L185" s="45" t="str">
        <f t="shared" si="11"/>
        <v>West</v>
      </c>
    </row>
    <row r="186" spans="1:12" ht="15" customHeight="1" x14ac:dyDescent="0.35">
      <c r="A186" s="43" t="s">
        <v>408</v>
      </c>
      <c r="B186" s="25" t="s">
        <v>409</v>
      </c>
      <c r="C186" s="25" t="s">
        <v>41</v>
      </c>
      <c r="D186" s="25" t="s">
        <v>42</v>
      </c>
      <c r="E186" s="25" t="s">
        <v>16</v>
      </c>
      <c r="F186" s="26">
        <v>1083.33</v>
      </c>
      <c r="G186" s="31">
        <f t="shared" si="8"/>
        <v>1</v>
      </c>
      <c r="H186" s="29">
        <v>23</v>
      </c>
      <c r="I186" s="32">
        <f t="shared" si="9"/>
        <v>1083.33</v>
      </c>
      <c r="J186" s="38" t="s">
        <v>17</v>
      </c>
      <c r="K186" s="33">
        <f t="shared" ca="1" si="10"/>
        <v>46000</v>
      </c>
      <c r="L186" s="45" t="str">
        <f t="shared" si="11"/>
        <v>North</v>
      </c>
    </row>
    <row r="187" spans="1:12" ht="15" customHeight="1" x14ac:dyDescent="0.35">
      <c r="A187" s="44" t="s">
        <v>410</v>
      </c>
      <c r="B187" s="27" t="s">
        <v>411</v>
      </c>
      <c r="C187" s="27" t="s">
        <v>67</v>
      </c>
      <c r="D187" s="27" t="s">
        <v>42</v>
      </c>
      <c r="E187" s="27" t="s">
        <v>93</v>
      </c>
      <c r="F187" s="28">
        <v>3801.04</v>
      </c>
      <c r="G187" s="31">
        <f t="shared" si="8"/>
        <v>2</v>
      </c>
      <c r="H187" s="30">
        <v>27</v>
      </c>
      <c r="I187" s="32">
        <f t="shared" si="9"/>
        <v>7602.08</v>
      </c>
      <c r="J187" s="39" t="s">
        <v>23</v>
      </c>
      <c r="K187" s="33">
        <f t="shared" ca="1" si="10"/>
        <v>45980</v>
      </c>
      <c r="L187" s="45" t="str">
        <f t="shared" si="11"/>
        <v>South</v>
      </c>
    </row>
    <row r="188" spans="1:12" ht="15" customHeight="1" x14ac:dyDescent="0.35">
      <c r="A188" s="43" t="s">
        <v>412</v>
      </c>
      <c r="B188" s="25" t="s">
        <v>413</v>
      </c>
      <c r="C188" s="25" t="s">
        <v>32</v>
      </c>
      <c r="D188" s="25" t="s">
        <v>51</v>
      </c>
      <c r="E188" s="25" t="s">
        <v>43</v>
      </c>
      <c r="F188" s="26">
        <v>252.34</v>
      </c>
      <c r="G188" s="31">
        <f t="shared" si="8"/>
        <v>3</v>
      </c>
      <c r="H188" s="29">
        <v>82</v>
      </c>
      <c r="I188" s="32">
        <f t="shared" si="9"/>
        <v>757.02</v>
      </c>
      <c r="J188" s="38" t="s">
        <v>17</v>
      </c>
      <c r="K188" s="33">
        <f t="shared" ca="1" si="10"/>
        <v>45949</v>
      </c>
      <c r="L188" s="45" t="str">
        <f t="shared" si="11"/>
        <v>East</v>
      </c>
    </row>
    <row r="189" spans="1:12" ht="15" customHeight="1" x14ac:dyDescent="0.35">
      <c r="A189" s="44" t="s">
        <v>414</v>
      </c>
      <c r="B189" s="27" t="s">
        <v>415</v>
      </c>
      <c r="C189" s="27" t="s">
        <v>38</v>
      </c>
      <c r="D189" s="27" t="s">
        <v>42</v>
      </c>
      <c r="E189" s="27" t="s">
        <v>93</v>
      </c>
      <c r="F189" s="28">
        <v>4090.99</v>
      </c>
      <c r="G189" s="31">
        <f t="shared" si="8"/>
        <v>4</v>
      </c>
      <c r="H189" s="30">
        <v>45</v>
      </c>
      <c r="I189" s="32">
        <f t="shared" si="9"/>
        <v>16363.96</v>
      </c>
      <c r="J189" s="38" t="s">
        <v>17</v>
      </c>
      <c r="K189" s="33">
        <f t="shared" ca="1" si="10"/>
        <v>45872</v>
      </c>
      <c r="L189" s="45" t="str">
        <f t="shared" si="11"/>
        <v>West</v>
      </c>
    </row>
    <row r="190" spans="1:12" ht="15" customHeight="1" x14ac:dyDescent="0.35">
      <c r="A190" s="43" t="s">
        <v>416</v>
      </c>
      <c r="B190" s="25" t="s">
        <v>417</v>
      </c>
      <c r="C190" s="25" t="s">
        <v>62</v>
      </c>
      <c r="D190" s="25" t="s">
        <v>27</v>
      </c>
      <c r="E190" s="25" t="s">
        <v>43</v>
      </c>
      <c r="F190" s="26">
        <v>3011.77</v>
      </c>
      <c r="G190" s="31">
        <f t="shared" si="8"/>
        <v>1</v>
      </c>
      <c r="H190" s="29">
        <v>31</v>
      </c>
      <c r="I190" s="32">
        <f t="shared" si="9"/>
        <v>3011.77</v>
      </c>
      <c r="J190" s="38" t="s">
        <v>17</v>
      </c>
      <c r="K190" s="33">
        <f t="shared" ca="1" si="10"/>
        <v>45885</v>
      </c>
      <c r="L190" s="45" t="str">
        <f t="shared" si="11"/>
        <v>North</v>
      </c>
    </row>
    <row r="191" spans="1:12" ht="15" customHeight="1" x14ac:dyDescent="0.35">
      <c r="A191" s="44" t="s">
        <v>418</v>
      </c>
      <c r="B191" s="27" t="s">
        <v>419</v>
      </c>
      <c r="C191" s="27" t="s">
        <v>14</v>
      </c>
      <c r="D191" s="27" t="s">
        <v>21</v>
      </c>
      <c r="E191" s="27" t="s">
        <v>43</v>
      </c>
      <c r="F191" s="28">
        <v>4780.9399999999996</v>
      </c>
      <c r="G191" s="31">
        <f t="shared" si="8"/>
        <v>2</v>
      </c>
      <c r="H191" s="30">
        <v>88</v>
      </c>
      <c r="I191" s="32">
        <f t="shared" si="9"/>
        <v>9561.8799999999992</v>
      </c>
      <c r="J191" s="38" t="s">
        <v>17</v>
      </c>
      <c r="K191" s="33">
        <f t="shared" ca="1" si="10"/>
        <v>45941</v>
      </c>
      <c r="L191" s="45" t="str">
        <f t="shared" si="11"/>
        <v>South</v>
      </c>
    </row>
    <row r="192" spans="1:12" ht="15" customHeight="1" x14ac:dyDescent="0.35">
      <c r="A192" s="43" t="s">
        <v>420</v>
      </c>
      <c r="B192" s="25" t="s">
        <v>421</v>
      </c>
      <c r="C192" s="25" t="s">
        <v>20</v>
      </c>
      <c r="D192" s="25" t="s">
        <v>48</v>
      </c>
      <c r="E192" s="25" t="s">
        <v>88</v>
      </c>
      <c r="F192" s="26">
        <v>4800.5600000000004</v>
      </c>
      <c r="G192" s="31">
        <f t="shared" si="8"/>
        <v>3</v>
      </c>
      <c r="H192" s="29">
        <v>96</v>
      </c>
      <c r="I192" s="32">
        <f t="shared" si="9"/>
        <v>14401.68</v>
      </c>
      <c r="J192" s="38" t="s">
        <v>17</v>
      </c>
      <c r="K192" s="33">
        <f t="shared" ca="1" si="10"/>
        <v>45813</v>
      </c>
      <c r="L192" s="45" t="str">
        <f t="shared" si="11"/>
        <v>East</v>
      </c>
    </row>
    <row r="193" spans="1:12" ht="15" customHeight="1" x14ac:dyDescent="0.35">
      <c r="A193" s="44" t="s">
        <v>422</v>
      </c>
      <c r="B193" s="27" t="s">
        <v>423</v>
      </c>
      <c r="C193" s="27" t="s">
        <v>14</v>
      </c>
      <c r="D193" s="27" t="s">
        <v>48</v>
      </c>
      <c r="E193" s="27" t="s">
        <v>16</v>
      </c>
      <c r="F193" s="28">
        <v>263.57</v>
      </c>
      <c r="G193" s="31">
        <f t="shared" si="8"/>
        <v>4</v>
      </c>
      <c r="H193" s="30">
        <v>88</v>
      </c>
      <c r="I193" s="32">
        <f t="shared" si="9"/>
        <v>1054.28</v>
      </c>
      <c r="J193" s="38" t="s">
        <v>17</v>
      </c>
      <c r="K193" s="33">
        <f t="shared" ca="1" si="10"/>
        <v>45842</v>
      </c>
      <c r="L193" s="45" t="str">
        <f t="shared" si="11"/>
        <v>West</v>
      </c>
    </row>
    <row r="194" spans="1:12" ht="15" customHeight="1" x14ac:dyDescent="0.35">
      <c r="A194" s="43" t="s">
        <v>424</v>
      </c>
      <c r="B194" s="25" t="s">
        <v>425</v>
      </c>
      <c r="C194" s="25" t="s">
        <v>26</v>
      </c>
      <c r="D194" s="25" t="s">
        <v>51</v>
      </c>
      <c r="E194" s="25" t="s">
        <v>16</v>
      </c>
      <c r="F194" s="26">
        <v>811</v>
      </c>
      <c r="G194" s="31">
        <f t="shared" si="8"/>
        <v>1</v>
      </c>
      <c r="H194" s="29">
        <v>65</v>
      </c>
      <c r="I194" s="32">
        <f t="shared" si="9"/>
        <v>811</v>
      </c>
      <c r="J194" s="41" t="s">
        <v>77</v>
      </c>
      <c r="K194" s="33">
        <f t="shared" ca="1" si="10"/>
        <v>45893</v>
      </c>
      <c r="L194" s="45" t="str">
        <f t="shared" si="11"/>
        <v>North</v>
      </c>
    </row>
    <row r="195" spans="1:12" ht="15" customHeight="1" x14ac:dyDescent="0.35">
      <c r="A195" s="44" t="s">
        <v>426</v>
      </c>
      <c r="B195" s="27" t="s">
        <v>427</v>
      </c>
      <c r="C195" s="27" t="s">
        <v>80</v>
      </c>
      <c r="D195" s="27" t="s">
        <v>72</v>
      </c>
      <c r="E195" s="27" t="s">
        <v>43</v>
      </c>
      <c r="F195" s="28">
        <v>2426.19</v>
      </c>
      <c r="G195" s="31">
        <f t="shared" ref="G195:G258" si="12">MOD(ROW()-2,4)+1</f>
        <v>2</v>
      </c>
      <c r="H195" s="30">
        <v>67</v>
      </c>
      <c r="I195" s="32">
        <f t="shared" ref="I195:I258" si="13">F195*G195</f>
        <v>4852.38</v>
      </c>
      <c r="J195" s="38" t="s">
        <v>17</v>
      </c>
      <c r="K195" s="33">
        <f t="shared" ref="K195:K258" ca="1" si="14">IF(ROW()&lt;=151,DATE(2024,RANDBETWEEN(1,12),RANDBETWEEN(1,28)),DATE(2025,RANDBETWEEN(1,12),RANDBETWEEN(1,28)))</f>
        <v>45789</v>
      </c>
      <c r="L195" s="45" t="str">
        <f t="shared" ref="L195:L258" si="15">CHOOSE(MOD(ROW()-2,4)+1,"North","South","East","West")</f>
        <v>South</v>
      </c>
    </row>
    <row r="196" spans="1:12" ht="15" customHeight="1" x14ac:dyDescent="0.35">
      <c r="A196" s="43" t="s">
        <v>428</v>
      </c>
      <c r="B196" s="25" t="s">
        <v>429</v>
      </c>
      <c r="C196" s="25" t="s">
        <v>62</v>
      </c>
      <c r="D196" s="25" t="s">
        <v>48</v>
      </c>
      <c r="E196" s="25" t="s">
        <v>16</v>
      </c>
      <c r="F196" s="26">
        <v>4398.67</v>
      </c>
      <c r="G196" s="31">
        <f t="shared" si="12"/>
        <v>3</v>
      </c>
      <c r="H196" s="29">
        <v>33</v>
      </c>
      <c r="I196" s="32">
        <f t="shared" si="13"/>
        <v>13196.01</v>
      </c>
      <c r="J196" s="41" t="s">
        <v>77</v>
      </c>
      <c r="K196" s="33">
        <f t="shared" ca="1" si="14"/>
        <v>45820</v>
      </c>
      <c r="L196" s="45" t="str">
        <f t="shared" si="15"/>
        <v>East</v>
      </c>
    </row>
    <row r="197" spans="1:12" ht="15" customHeight="1" x14ac:dyDescent="0.35">
      <c r="A197" s="44" t="s">
        <v>430</v>
      </c>
      <c r="B197" s="27" t="s">
        <v>431</v>
      </c>
      <c r="C197" s="27" t="s">
        <v>26</v>
      </c>
      <c r="D197" s="27" t="s">
        <v>27</v>
      </c>
      <c r="E197" s="27" t="s">
        <v>43</v>
      </c>
      <c r="F197" s="28">
        <v>4074.08</v>
      </c>
      <c r="G197" s="31">
        <f t="shared" si="12"/>
        <v>4</v>
      </c>
      <c r="H197" s="30">
        <v>87</v>
      </c>
      <c r="I197" s="32">
        <f t="shared" si="13"/>
        <v>16296.32</v>
      </c>
      <c r="J197" s="41" t="s">
        <v>77</v>
      </c>
      <c r="K197" s="33">
        <f t="shared" ca="1" si="14"/>
        <v>45853</v>
      </c>
      <c r="L197" s="45" t="str">
        <f t="shared" si="15"/>
        <v>West</v>
      </c>
    </row>
    <row r="198" spans="1:12" ht="15" customHeight="1" x14ac:dyDescent="0.35">
      <c r="A198" s="43" t="s">
        <v>432</v>
      </c>
      <c r="B198" s="25" t="s">
        <v>433</v>
      </c>
      <c r="C198" s="25" t="s">
        <v>32</v>
      </c>
      <c r="D198" s="25" t="s">
        <v>15</v>
      </c>
      <c r="E198" s="25" t="s">
        <v>88</v>
      </c>
      <c r="F198" s="26">
        <v>4822.21</v>
      </c>
      <c r="G198" s="31">
        <f t="shared" si="12"/>
        <v>1</v>
      </c>
      <c r="H198" s="29">
        <v>24</v>
      </c>
      <c r="I198" s="32">
        <f t="shared" si="13"/>
        <v>4822.21</v>
      </c>
      <c r="J198" s="38" t="s">
        <v>17</v>
      </c>
      <c r="K198" s="33">
        <f t="shared" ca="1" si="14"/>
        <v>45802</v>
      </c>
      <c r="L198" s="45" t="str">
        <f t="shared" si="15"/>
        <v>North</v>
      </c>
    </row>
    <row r="199" spans="1:12" ht="15" customHeight="1" x14ac:dyDescent="0.35">
      <c r="A199" s="44" t="s">
        <v>434</v>
      </c>
      <c r="B199" s="27" t="s">
        <v>435</v>
      </c>
      <c r="C199" s="27" t="s">
        <v>20</v>
      </c>
      <c r="D199" s="27" t="s">
        <v>33</v>
      </c>
      <c r="E199" s="27" t="s">
        <v>93</v>
      </c>
      <c r="F199" s="28">
        <v>3094.24</v>
      </c>
      <c r="G199" s="31">
        <f t="shared" si="12"/>
        <v>2</v>
      </c>
      <c r="H199" s="30">
        <v>58</v>
      </c>
      <c r="I199" s="32">
        <f t="shared" si="13"/>
        <v>6188.48</v>
      </c>
      <c r="J199" s="38" t="s">
        <v>17</v>
      </c>
      <c r="K199" s="33">
        <f t="shared" ca="1" si="14"/>
        <v>45967</v>
      </c>
      <c r="L199" s="45" t="str">
        <f t="shared" si="15"/>
        <v>South</v>
      </c>
    </row>
    <row r="200" spans="1:12" ht="15" customHeight="1" x14ac:dyDescent="0.35">
      <c r="A200" s="43" t="s">
        <v>436</v>
      </c>
      <c r="B200" s="25" t="s">
        <v>437</v>
      </c>
      <c r="C200" s="25" t="s">
        <v>67</v>
      </c>
      <c r="D200" s="25" t="s">
        <v>42</v>
      </c>
      <c r="E200" s="25" t="s">
        <v>16</v>
      </c>
      <c r="F200" s="26">
        <v>1290.25</v>
      </c>
      <c r="G200" s="31">
        <f t="shared" si="12"/>
        <v>3</v>
      </c>
      <c r="H200" s="29">
        <v>75</v>
      </c>
      <c r="I200" s="32">
        <f t="shared" si="13"/>
        <v>3870.75</v>
      </c>
      <c r="J200" s="38" t="s">
        <v>17</v>
      </c>
      <c r="K200" s="33">
        <f t="shared" ca="1" si="14"/>
        <v>45678</v>
      </c>
      <c r="L200" s="45" t="str">
        <f t="shared" si="15"/>
        <v>East</v>
      </c>
    </row>
    <row r="201" spans="1:12" ht="15" customHeight="1" x14ac:dyDescent="0.35">
      <c r="A201" s="44" t="s">
        <v>438</v>
      </c>
      <c r="B201" s="27" t="s">
        <v>439</v>
      </c>
      <c r="C201" s="27" t="s">
        <v>62</v>
      </c>
      <c r="D201" s="27" t="s">
        <v>27</v>
      </c>
      <c r="E201" s="27" t="s">
        <v>43</v>
      </c>
      <c r="F201" s="28">
        <v>135.28</v>
      </c>
      <c r="G201" s="31">
        <f t="shared" si="12"/>
        <v>4</v>
      </c>
      <c r="H201" s="30">
        <v>27</v>
      </c>
      <c r="I201" s="32">
        <f t="shared" si="13"/>
        <v>541.12</v>
      </c>
      <c r="J201" s="41" t="s">
        <v>77</v>
      </c>
      <c r="K201" s="33">
        <f t="shared" ca="1" si="14"/>
        <v>45681</v>
      </c>
      <c r="L201" s="45" t="str">
        <f t="shared" si="15"/>
        <v>West</v>
      </c>
    </row>
    <row r="202" spans="1:12" ht="15" customHeight="1" x14ac:dyDescent="0.35">
      <c r="A202" s="43" t="s">
        <v>440</v>
      </c>
      <c r="B202" s="25" t="s">
        <v>441</v>
      </c>
      <c r="C202" s="25" t="s">
        <v>62</v>
      </c>
      <c r="D202" s="25" t="s">
        <v>51</v>
      </c>
      <c r="E202" s="25" t="s">
        <v>93</v>
      </c>
      <c r="F202" s="26">
        <v>1122.4000000000001</v>
      </c>
      <c r="G202" s="31">
        <f t="shared" si="12"/>
        <v>1</v>
      </c>
      <c r="H202" s="29">
        <v>91</v>
      </c>
      <c r="I202" s="32">
        <f t="shared" si="13"/>
        <v>1122.4000000000001</v>
      </c>
      <c r="J202" s="38" t="s">
        <v>17</v>
      </c>
      <c r="K202" s="33">
        <f t="shared" ca="1" si="14"/>
        <v>45717</v>
      </c>
      <c r="L202" s="45" t="str">
        <f t="shared" si="15"/>
        <v>North</v>
      </c>
    </row>
    <row r="203" spans="1:12" ht="15" customHeight="1" x14ac:dyDescent="0.35">
      <c r="A203" s="44" t="s">
        <v>442</v>
      </c>
      <c r="B203" s="27" t="s">
        <v>443</v>
      </c>
      <c r="C203" s="27" t="s">
        <v>80</v>
      </c>
      <c r="D203" s="27" t="s">
        <v>27</v>
      </c>
      <c r="E203" s="27" t="s">
        <v>43</v>
      </c>
      <c r="F203" s="28">
        <v>3379.61</v>
      </c>
      <c r="G203" s="31">
        <f t="shared" si="12"/>
        <v>2</v>
      </c>
      <c r="H203" s="30">
        <v>31</v>
      </c>
      <c r="I203" s="32">
        <f t="shared" si="13"/>
        <v>6759.22</v>
      </c>
      <c r="J203" s="38" t="s">
        <v>17</v>
      </c>
      <c r="K203" s="33">
        <f t="shared" ca="1" si="14"/>
        <v>45779</v>
      </c>
      <c r="L203" s="45" t="str">
        <f t="shared" si="15"/>
        <v>South</v>
      </c>
    </row>
    <row r="204" spans="1:12" ht="15" customHeight="1" x14ac:dyDescent="0.35">
      <c r="A204" s="43" t="s">
        <v>444</v>
      </c>
      <c r="B204" s="25" t="s">
        <v>445</v>
      </c>
      <c r="C204" s="25" t="s">
        <v>87</v>
      </c>
      <c r="D204" s="25" t="s">
        <v>27</v>
      </c>
      <c r="E204" s="25" t="s">
        <v>16</v>
      </c>
      <c r="F204" s="26">
        <v>4632.1099999999997</v>
      </c>
      <c r="G204" s="31">
        <f t="shared" si="12"/>
        <v>3</v>
      </c>
      <c r="H204" s="29">
        <v>22</v>
      </c>
      <c r="I204" s="32">
        <f t="shared" si="13"/>
        <v>13896.329999999998</v>
      </c>
      <c r="J204" s="39" t="s">
        <v>23</v>
      </c>
      <c r="K204" s="33">
        <f t="shared" ca="1" si="14"/>
        <v>45920</v>
      </c>
      <c r="L204" s="45" t="str">
        <f t="shared" si="15"/>
        <v>East</v>
      </c>
    </row>
    <row r="205" spans="1:12" ht="15" customHeight="1" x14ac:dyDescent="0.35">
      <c r="A205" s="44" t="s">
        <v>446</v>
      </c>
      <c r="B205" s="27" t="s">
        <v>447</v>
      </c>
      <c r="C205" s="27" t="s">
        <v>62</v>
      </c>
      <c r="D205" s="27" t="s">
        <v>42</v>
      </c>
      <c r="E205" s="27" t="s">
        <v>93</v>
      </c>
      <c r="F205" s="28">
        <v>1611.31</v>
      </c>
      <c r="G205" s="31">
        <f t="shared" si="12"/>
        <v>4</v>
      </c>
      <c r="H205" s="30">
        <v>80</v>
      </c>
      <c r="I205" s="32">
        <f t="shared" si="13"/>
        <v>6445.24</v>
      </c>
      <c r="J205" s="38" t="s">
        <v>17</v>
      </c>
      <c r="K205" s="33">
        <f t="shared" ca="1" si="14"/>
        <v>45816</v>
      </c>
      <c r="L205" s="45" t="str">
        <f t="shared" si="15"/>
        <v>West</v>
      </c>
    </row>
    <row r="206" spans="1:12" ht="15" customHeight="1" x14ac:dyDescent="0.35">
      <c r="A206" s="43" t="s">
        <v>448</v>
      </c>
      <c r="B206" s="25" t="s">
        <v>449</v>
      </c>
      <c r="C206" s="25" t="s">
        <v>41</v>
      </c>
      <c r="D206" s="25" t="s">
        <v>72</v>
      </c>
      <c r="E206" s="25" t="s">
        <v>43</v>
      </c>
      <c r="F206" s="26">
        <v>4379.76</v>
      </c>
      <c r="G206" s="31">
        <f t="shared" si="12"/>
        <v>1</v>
      </c>
      <c r="H206" s="29">
        <v>10</v>
      </c>
      <c r="I206" s="32">
        <f t="shared" si="13"/>
        <v>4379.76</v>
      </c>
      <c r="J206" s="38" t="s">
        <v>17</v>
      </c>
      <c r="K206" s="33">
        <f t="shared" ca="1" si="14"/>
        <v>45708</v>
      </c>
      <c r="L206" s="45" t="str">
        <f t="shared" si="15"/>
        <v>North</v>
      </c>
    </row>
    <row r="207" spans="1:12" ht="15" customHeight="1" x14ac:dyDescent="0.35">
      <c r="A207" s="44" t="s">
        <v>450</v>
      </c>
      <c r="B207" s="27" t="s">
        <v>451</v>
      </c>
      <c r="C207" s="27" t="s">
        <v>20</v>
      </c>
      <c r="D207" s="27" t="s">
        <v>21</v>
      </c>
      <c r="E207" s="27" t="s">
        <v>88</v>
      </c>
      <c r="F207" s="28">
        <v>1980.54</v>
      </c>
      <c r="G207" s="31">
        <f t="shared" si="12"/>
        <v>2</v>
      </c>
      <c r="H207" s="30">
        <v>11</v>
      </c>
      <c r="I207" s="32">
        <f t="shared" si="13"/>
        <v>3961.08</v>
      </c>
      <c r="J207" s="38" t="s">
        <v>17</v>
      </c>
      <c r="K207" s="33">
        <f t="shared" ca="1" si="14"/>
        <v>45882</v>
      </c>
      <c r="L207" s="45" t="str">
        <f t="shared" si="15"/>
        <v>South</v>
      </c>
    </row>
    <row r="208" spans="1:12" ht="15" customHeight="1" x14ac:dyDescent="0.35">
      <c r="A208" s="43" t="s">
        <v>452</v>
      </c>
      <c r="B208" s="25" t="s">
        <v>453</v>
      </c>
      <c r="C208" s="25" t="s">
        <v>20</v>
      </c>
      <c r="D208" s="25" t="s">
        <v>48</v>
      </c>
      <c r="E208" s="25" t="s">
        <v>16</v>
      </c>
      <c r="F208" s="26">
        <v>1548.27</v>
      </c>
      <c r="G208" s="31">
        <f t="shared" si="12"/>
        <v>3</v>
      </c>
      <c r="H208" s="29">
        <v>96</v>
      </c>
      <c r="I208" s="32">
        <f t="shared" si="13"/>
        <v>4644.8099999999995</v>
      </c>
      <c r="J208" s="38" t="s">
        <v>17</v>
      </c>
      <c r="K208" s="33">
        <f t="shared" ca="1" si="14"/>
        <v>45826</v>
      </c>
      <c r="L208" s="45" t="str">
        <f t="shared" si="15"/>
        <v>East</v>
      </c>
    </row>
    <row r="209" spans="1:12" ht="15" customHeight="1" x14ac:dyDescent="0.35">
      <c r="A209" s="44" t="s">
        <v>454</v>
      </c>
      <c r="B209" s="27" t="s">
        <v>455</v>
      </c>
      <c r="C209" s="27" t="s">
        <v>41</v>
      </c>
      <c r="D209" s="27" t="s">
        <v>51</v>
      </c>
      <c r="E209" s="27" t="s">
        <v>88</v>
      </c>
      <c r="F209" s="28">
        <v>2549.13</v>
      </c>
      <c r="G209" s="31">
        <f t="shared" si="12"/>
        <v>4</v>
      </c>
      <c r="H209" s="30">
        <v>60</v>
      </c>
      <c r="I209" s="32">
        <f t="shared" si="13"/>
        <v>10196.52</v>
      </c>
      <c r="J209" s="38" t="s">
        <v>17</v>
      </c>
      <c r="K209" s="33">
        <f t="shared" ca="1" si="14"/>
        <v>45673</v>
      </c>
      <c r="L209" s="45" t="str">
        <f t="shared" si="15"/>
        <v>West</v>
      </c>
    </row>
    <row r="210" spans="1:12" ht="15" customHeight="1" x14ac:dyDescent="0.35">
      <c r="A210" s="43" t="s">
        <v>456</v>
      </c>
      <c r="B210" s="25" t="s">
        <v>457</v>
      </c>
      <c r="C210" s="25" t="s">
        <v>38</v>
      </c>
      <c r="D210" s="25" t="s">
        <v>33</v>
      </c>
      <c r="E210" s="25" t="s">
        <v>22</v>
      </c>
      <c r="F210" s="26">
        <v>2216.94</v>
      </c>
      <c r="G210" s="31">
        <f t="shared" si="12"/>
        <v>1</v>
      </c>
      <c r="H210" s="29">
        <v>37</v>
      </c>
      <c r="I210" s="32">
        <f t="shared" si="13"/>
        <v>2216.94</v>
      </c>
      <c r="J210" s="38" t="s">
        <v>17</v>
      </c>
      <c r="K210" s="33">
        <f t="shared" ca="1" si="14"/>
        <v>45913</v>
      </c>
      <c r="L210" s="45" t="str">
        <f t="shared" si="15"/>
        <v>North</v>
      </c>
    </row>
    <row r="211" spans="1:12" ht="15" customHeight="1" x14ac:dyDescent="0.35">
      <c r="A211" s="44" t="s">
        <v>458</v>
      </c>
      <c r="B211" s="27" t="s">
        <v>459</v>
      </c>
      <c r="C211" s="27" t="s">
        <v>41</v>
      </c>
      <c r="D211" s="27" t="s">
        <v>15</v>
      </c>
      <c r="E211" s="27" t="s">
        <v>16</v>
      </c>
      <c r="F211" s="28">
        <v>4569.8599999999997</v>
      </c>
      <c r="G211" s="31">
        <f t="shared" si="12"/>
        <v>2</v>
      </c>
      <c r="H211" s="30">
        <v>28</v>
      </c>
      <c r="I211" s="32">
        <f t="shared" si="13"/>
        <v>9139.7199999999993</v>
      </c>
      <c r="J211" s="38" t="s">
        <v>17</v>
      </c>
      <c r="K211" s="33">
        <f t="shared" ca="1" si="14"/>
        <v>45767</v>
      </c>
      <c r="L211" s="45" t="str">
        <f t="shared" si="15"/>
        <v>South</v>
      </c>
    </row>
    <row r="212" spans="1:12" ht="15" customHeight="1" x14ac:dyDescent="0.35">
      <c r="A212" s="43" t="s">
        <v>460</v>
      </c>
      <c r="B212" s="25" t="s">
        <v>461</v>
      </c>
      <c r="C212" s="25" t="s">
        <v>41</v>
      </c>
      <c r="D212" s="25" t="s">
        <v>27</v>
      </c>
      <c r="E212" s="25" t="s">
        <v>28</v>
      </c>
      <c r="F212" s="26">
        <v>2346.6</v>
      </c>
      <c r="G212" s="31">
        <f t="shared" si="12"/>
        <v>3</v>
      </c>
      <c r="H212" s="29">
        <v>84</v>
      </c>
      <c r="I212" s="32">
        <f t="shared" si="13"/>
        <v>7039.7999999999993</v>
      </c>
      <c r="J212" s="39" t="s">
        <v>23</v>
      </c>
      <c r="K212" s="33">
        <f t="shared" ca="1" si="14"/>
        <v>45705</v>
      </c>
      <c r="L212" s="45" t="str">
        <f t="shared" si="15"/>
        <v>East</v>
      </c>
    </row>
    <row r="213" spans="1:12" ht="15" customHeight="1" x14ac:dyDescent="0.35">
      <c r="A213" s="44" t="s">
        <v>462</v>
      </c>
      <c r="B213" s="27" t="s">
        <v>463</v>
      </c>
      <c r="C213" s="27" t="s">
        <v>20</v>
      </c>
      <c r="D213" s="27" t="s">
        <v>15</v>
      </c>
      <c r="E213" s="27" t="s">
        <v>88</v>
      </c>
      <c r="F213" s="28">
        <v>1393.9</v>
      </c>
      <c r="G213" s="31">
        <f t="shared" si="12"/>
        <v>4</v>
      </c>
      <c r="H213" s="30">
        <v>31</v>
      </c>
      <c r="I213" s="32">
        <f t="shared" si="13"/>
        <v>5575.6</v>
      </c>
      <c r="J213" s="39" t="s">
        <v>23</v>
      </c>
      <c r="K213" s="33">
        <f t="shared" ca="1" si="14"/>
        <v>46013</v>
      </c>
      <c r="L213" s="45" t="str">
        <f t="shared" si="15"/>
        <v>West</v>
      </c>
    </row>
    <row r="214" spans="1:12" ht="15" customHeight="1" x14ac:dyDescent="0.35">
      <c r="A214" s="43" t="s">
        <v>464</v>
      </c>
      <c r="B214" s="25" t="s">
        <v>465</v>
      </c>
      <c r="C214" s="25" t="s">
        <v>14</v>
      </c>
      <c r="D214" s="25" t="s">
        <v>33</v>
      </c>
      <c r="E214" s="25" t="s">
        <v>93</v>
      </c>
      <c r="F214" s="26">
        <v>4214.3999999999996</v>
      </c>
      <c r="G214" s="31">
        <f t="shared" si="12"/>
        <v>1</v>
      </c>
      <c r="H214" s="29">
        <v>56</v>
      </c>
      <c r="I214" s="32">
        <f t="shared" si="13"/>
        <v>4214.3999999999996</v>
      </c>
      <c r="J214" s="38" t="s">
        <v>17</v>
      </c>
      <c r="K214" s="33">
        <f t="shared" ca="1" si="14"/>
        <v>45682</v>
      </c>
      <c r="L214" s="45" t="str">
        <f t="shared" si="15"/>
        <v>North</v>
      </c>
    </row>
    <row r="215" spans="1:12" ht="15" customHeight="1" x14ac:dyDescent="0.35">
      <c r="A215" s="44" t="s">
        <v>466</v>
      </c>
      <c r="B215" s="27" t="s">
        <v>467</v>
      </c>
      <c r="C215" s="27" t="s">
        <v>20</v>
      </c>
      <c r="D215" s="27" t="s">
        <v>27</v>
      </c>
      <c r="E215" s="27" t="s">
        <v>93</v>
      </c>
      <c r="F215" s="28">
        <v>4993.76</v>
      </c>
      <c r="G215" s="31">
        <f t="shared" si="12"/>
        <v>2</v>
      </c>
      <c r="H215" s="30">
        <v>55</v>
      </c>
      <c r="I215" s="32">
        <f t="shared" si="13"/>
        <v>9987.52</v>
      </c>
      <c r="J215" s="39" t="s">
        <v>23</v>
      </c>
      <c r="K215" s="33">
        <f t="shared" ca="1" si="14"/>
        <v>45907</v>
      </c>
      <c r="L215" s="45" t="str">
        <f t="shared" si="15"/>
        <v>South</v>
      </c>
    </row>
    <row r="216" spans="1:12" ht="15" customHeight="1" x14ac:dyDescent="0.35">
      <c r="A216" s="43" t="s">
        <v>468</v>
      </c>
      <c r="B216" s="25" t="s">
        <v>469</v>
      </c>
      <c r="C216" s="25" t="s">
        <v>87</v>
      </c>
      <c r="D216" s="25" t="s">
        <v>51</v>
      </c>
      <c r="E216" s="25" t="s">
        <v>43</v>
      </c>
      <c r="F216" s="26">
        <v>3244.38</v>
      </c>
      <c r="G216" s="31">
        <f t="shared" si="12"/>
        <v>3</v>
      </c>
      <c r="H216" s="29">
        <v>13</v>
      </c>
      <c r="I216" s="32">
        <f t="shared" si="13"/>
        <v>9733.14</v>
      </c>
      <c r="J216" s="40" t="s">
        <v>29</v>
      </c>
      <c r="K216" s="33">
        <f t="shared" ca="1" si="14"/>
        <v>45731</v>
      </c>
      <c r="L216" s="45" t="str">
        <f t="shared" si="15"/>
        <v>East</v>
      </c>
    </row>
    <row r="217" spans="1:12" ht="15" customHeight="1" x14ac:dyDescent="0.35">
      <c r="A217" s="44" t="s">
        <v>470</v>
      </c>
      <c r="B217" s="27" t="s">
        <v>471</v>
      </c>
      <c r="C217" s="27" t="s">
        <v>80</v>
      </c>
      <c r="D217" s="27" t="s">
        <v>27</v>
      </c>
      <c r="E217" s="27" t="s">
        <v>93</v>
      </c>
      <c r="F217" s="28">
        <v>1259.8</v>
      </c>
      <c r="G217" s="31">
        <f t="shared" si="12"/>
        <v>4</v>
      </c>
      <c r="H217" s="30">
        <v>54</v>
      </c>
      <c r="I217" s="32">
        <f t="shared" si="13"/>
        <v>5039.2</v>
      </c>
      <c r="J217" s="38" t="s">
        <v>17</v>
      </c>
      <c r="K217" s="33">
        <f t="shared" ca="1" si="14"/>
        <v>45933</v>
      </c>
      <c r="L217" s="45" t="str">
        <f t="shared" si="15"/>
        <v>West</v>
      </c>
    </row>
    <row r="218" spans="1:12" ht="15" customHeight="1" x14ac:dyDescent="0.35">
      <c r="A218" s="43" t="s">
        <v>472</v>
      </c>
      <c r="B218" s="25" t="s">
        <v>473</v>
      </c>
      <c r="C218" s="25" t="s">
        <v>26</v>
      </c>
      <c r="D218" s="25" t="s">
        <v>27</v>
      </c>
      <c r="E218" s="25" t="s">
        <v>43</v>
      </c>
      <c r="F218" s="26">
        <v>1201.69</v>
      </c>
      <c r="G218" s="31">
        <f t="shared" si="12"/>
        <v>1</v>
      </c>
      <c r="H218" s="29">
        <v>24</v>
      </c>
      <c r="I218" s="32">
        <f t="shared" si="13"/>
        <v>1201.69</v>
      </c>
      <c r="J218" s="38" t="s">
        <v>17</v>
      </c>
      <c r="K218" s="33">
        <f t="shared" ca="1" si="14"/>
        <v>45955</v>
      </c>
      <c r="L218" s="45" t="str">
        <f t="shared" si="15"/>
        <v>North</v>
      </c>
    </row>
    <row r="219" spans="1:12" ht="15" customHeight="1" x14ac:dyDescent="0.35">
      <c r="A219" s="44" t="s">
        <v>474</v>
      </c>
      <c r="B219" s="27" t="s">
        <v>475</v>
      </c>
      <c r="C219" s="27" t="s">
        <v>14</v>
      </c>
      <c r="D219" s="27" t="s">
        <v>42</v>
      </c>
      <c r="E219" s="27" t="s">
        <v>28</v>
      </c>
      <c r="F219" s="28">
        <v>297.95999999999998</v>
      </c>
      <c r="G219" s="31">
        <f t="shared" si="12"/>
        <v>2</v>
      </c>
      <c r="H219" s="30">
        <v>11</v>
      </c>
      <c r="I219" s="32">
        <f t="shared" si="13"/>
        <v>595.91999999999996</v>
      </c>
      <c r="J219" s="38" t="s">
        <v>17</v>
      </c>
      <c r="K219" s="33">
        <f t="shared" ca="1" si="14"/>
        <v>45665</v>
      </c>
      <c r="L219" s="45" t="str">
        <f t="shared" si="15"/>
        <v>South</v>
      </c>
    </row>
    <row r="220" spans="1:12" ht="15" customHeight="1" x14ac:dyDescent="0.35">
      <c r="A220" s="43" t="s">
        <v>476</v>
      </c>
      <c r="B220" s="25" t="s">
        <v>477</v>
      </c>
      <c r="C220" s="25" t="s">
        <v>67</v>
      </c>
      <c r="D220" s="25" t="s">
        <v>27</v>
      </c>
      <c r="E220" s="25" t="s">
        <v>88</v>
      </c>
      <c r="F220" s="26">
        <v>395.69</v>
      </c>
      <c r="G220" s="31">
        <f t="shared" si="12"/>
        <v>3</v>
      </c>
      <c r="H220" s="29">
        <v>61</v>
      </c>
      <c r="I220" s="32">
        <f t="shared" si="13"/>
        <v>1187.07</v>
      </c>
      <c r="J220" s="38" t="s">
        <v>17</v>
      </c>
      <c r="K220" s="33">
        <f t="shared" ca="1" si="14"/>
        <v>45943</v>
      </c>
      <c r="L220" s="45" t="str">
        <f t="shared" si="15"/>
        <v>East</v>
      </c>
    </row>
    <row r="221" spans="1:12" ht="15" customHeight="1" x14ac:dyDescent="0.35">
      <c r="A221" s="44" t="s">
        <v>478</v>
      </c>
      <c r="B221" s="27" t="s">
        <v>479</v>
      </c>
      <c r="C221" s="27" t="s">
        <v>26</v>
      </c>
      <c r="D221" s="27" t="s">
        <v>42</v>
      </c>
      <c r="E221" s="27" t="s">
        <v>88</v>
      </c>
      <c r="F221" s="28">
        <v>4575.7700000000004</v>
      </c>
      <c r="G221" s="31">
        <f t="shared" si="12"/>
        <v>4</v>
      </c>
      <c r="H221" s="30">
        <v>30</v>
      </c>
      <c r="I221" s="32">
        <f t="shared" si="13"/>
        <v>18303.080000000002</v>
      </c>
      <c r="J221" s="38" t="s">
        <v>17</v>
      </c>
      <c r="K221" s="33">
        <f t="shared" ca="1" si="14"/>
        <v>45774</v>
      </c>
      <c r="L221" s="45" t="str">
        <f t="shared" si="15"/>
        <v>West</v>
      </c>
    </row>
    <row r="222" spans="1:12" ht="15" customHeight="1" x14ac:dyDescent="0.35">
      <c r="A222" s="43" t="s">
        <v>480</v>
      </c>
      <c r="B222" s="25" t="s">
        <v>481</v>
      </c>
      <c r="C222" s="25" t="s">
        <v>80</v>
      </c>
      <c r="D222" s="25" t="s">
        <v>48</v>
      </c>
      <c r="E222" s="25" t="s">
        <v>22</v>
      </c>
      <c r="F222" s="26">
        <v>491.47</v>
      </c>
      <c r="G222" s="31">
        <f t="shared" si="12"/>
        <v>1</v>
      </c>
      <c r="H222" s="29">
        <v>76</v>
      </c>
      <c r="I222" s="32">
        <f t="shared" si="13"/>
        <v>491.47</v>
      </c>
      <c r="J222" s="39" t="s">
        <v>23</v>
      </c>
      <c r="K222" s="33">
        <f t="shared" ca="1" si="14"/>
        <v>45796</v>
      </c>
      <c r="L222" s="45" t="str">
        <f t="shared" si="15"/>
        <v>North</v>
      </c>
    </row>
    <row r="223" spans="1:12" ht="15" customHeight="1" x14ac:dyDescent="0.35">
      <c r="A223" s="44" t="s">
        <v>482</v>
      </c>
      <c r="B223" s="27" t="s">
        <v>483</v>
      </c>
      <c r="C223" s="27" t="s">
        <v>87</v>
      </c>
      <c r="D223" s="27" t="s">
        <v>51</v>
      </c>
      <c r="E223" s="27" t="s">
        <v>28</v>
      </c>
      <c r="F223" s="28">
        <v>2426.88</v>
      </c>
      <c r="G223" s="31">
        <f t="shared" si="12"/>
        <v>2</v>
      </c>
      <c r="H223" s="30">
        <v>77</v>
      </c>
      <c r="I223" s="32">
        <f t="shared" si="13"/>
        <v>4853.76</v>
      </c>
      <c r="J223" s="38" t="s">
        <v>17</v>
      </c>
      <c r="K223" s="33">
        <f t="shared" ca="1" si="14"/>
        <v>45989</v>
      </c>
      <c r="L223" s="45" t="str">
        <f t="shared" si="15"/>
        <v>South</v>
      </c>
    </row>
    <row r="224" spans="1:12" ht="15" customHeight="1" x14ac:dyDescent="0.35">
      <c r="A224" s="43" t="s">
        <v>484</v>
      </c>
      <c r="B224" s="25" t="s">
        <v>485</v>
      </c>
      <c r="C224" s="25" t="s">
        <v>87</v>
      </c>
      <c r="D224" s="25" t="s">
        <v>33</v>
      </c>
      <c r="E224" s="25" t="s">
        <v>93</v>
      </c>
      <c r="F224" s="26">
        <v>3493.63</v>
      </c>
      <c r="G224" s="31">
        <f t="shared" si="12"/>
        <v>3</v>
      </c>
      <c r="H224" s="29">
        <v>78</v>
      </c>
      <c r="I224" s="32">
        <f t="shared" si="13"/>
        <v>10480.89</v>
      </c>
      <c r="J224" s="38" t="s">
        <v>17</v>
      </c>
      <c r="K224" s="33">
        <f t="shared" ca="1" si="14"/>
        <v>45785</v>
      </c>
      <c r="L224" s="45" t="str">
        <f t="shared" si="15"/>
        <v>East</v>
      </c>
    </row>
    <row r="225" spans="1:12" ht="15" customHeight="1" x14ac:dyDescent="0.35">
      <c r="A225" s="44" t="s">
        <v>486</v>
      </c>
      <c r="B225" s="27" t="s">
        <v>487</v>
      </c>
      <c r="C225" s="27" t="s">
        <v>67</v>
      </c>
      <c r="D225" s="27" t="s">
        <v>72</v>
      </c>
      <c r="E225" s="27" t="s">
        <v>16</v>
      </c>
      <c r="F225" s="28">
        <v>4253.2700000000004</v>
      </c>
      <c r="G225" s="31">
        <f t="shared" si="12"/>
        <v>4</v>
      </c>
      <c r="H225" s="30">
        <v>86</v>
      </c>
      <c r="I225" s="32">
        <f t="shared" si="13"/>
        <v>17013.080000000002</v>
      </c>
      <c r="J225" s="41" t="s">
        <v>77</v>
      </c>
      <c r="K225" s="33">
        <f t="shared" ca="1" si="14"/>
        <v>45659</v>
      </c>
      <c r="L225" s="45" t="str">
        <f t="shared" si="15"/>
        <v>West</v>
      </c>
    </row>
    <row r="226" spans="1:12" ht="15" customHeight="1" x14ac:dyDescent="0.35">
      <c r="A226" s="43" t="s">
        <v>488</v>
      </c>
      <c r="B226" s="25" t="s">
        <v>489</v>
      </c>
      <c r="C226" s="25" t="s">
        <v>14</v>
      </c>
      <c r="D226" s="25" t="s">
        <v>33</v>
      </c>
      <c r="E226" s="25" t="s">
        <v>16</v>
      </c>
      <c r="F226" s="26">
        <v>864.64</v>
      </c>
      <c r="G226" s="31">
        <f t="shared" si="12"/>
        <v>1</v>
      </c>
      <c r="H226" s="29">
        <v>93</v>
      </c>
      <c r="I226" s="32">
        <f t="shared" si="13"/>
        <v>864.64</v>
      </c>
      <c r="J226" s="38" t="s">
        <v>17</v>
      </c>
      <c r="K226" s="33">
        <f t="shared" ca="1" si="14"/>
        <v>45952</v>
      </c>
      <c r="L226" s="45" t="str">
        <f t="shared" si="15"/>
        <v>North</v>
      </c>
    </row>
    <row r="227" spans="1:12" ht="15" customHeight="1" x14ac:dyDescent="0.35">
      <c r="A227" s="44" t="s">
        <v>490</v>
      </c>
      <c r="B227" s="27" t="s">
        <v>491</v>
      </c>
      <c r="C227" s="27" t="s">
        <v>38</v>
      </c>
      <c r="D227" s="27" t="s">
        <v>42</v>
      </c>
      <c r="E227" s="27" t="s">
        <v>22</v>
      </c>
      <c r="F227" s="28">
        <v>2194.52</v>
      </c>
      <c r="G227" s="31">
        <f t="shared" si="12"/>
        <v>2</v>
      </c>
      <c r="H227" s="30">
        <v>85</v>
      </c>
      <c r="I227" s="32">
        <f t="shared" si="13"/>
        <v>4389.04</v>
      </c>
      <c r="J227" s="39" t="s">
        <v>23</v>
      </c>
      <c r="K227" s="33">
        <f t="shared" ca="1" si="14"/>
        <v>45992</v>
      </c>
      <c r="L227" s="45" t="str">
        <f t="shared" si="15"/>
        <v>South</v>
      </c>
    </row>
    <row r="228" spans="1:12" ht="15" customHeight="1" x14ac:dyDescent="0.35">
      <c r="A228" s="43" t="s">
        <v>492</v>
      </c>
      <c r="B228" s="25" t="s">
        <v>493</v>
      </c>
      <c r="C228" s="25" t="s">
        <v>41</v>
      </c>
      <c r="D228" s="25" t="s">
        <v>15</v>
      </c>
      <c r="E228" s="25" t="s">
        <v>22</v>
      </c>
      <c r="F228" s="26">
        <v>1264.8900000000001</v>
      </c>
      <c r="G228" s="31">
        <f t="shared" si="12"/>
        <v>3</v>
      </c>
      <c r="H228" s="29">
        <v>64</v>
      </c>
      <c r="I228" s="32">
        <f t="shared" si="13"/>
        <v>3794.67</v>
      </c>
      <c r="J228" s="41" t="s">
        <v>77</v>
      </c>
      <c r="K228" s="33">
        <f t="shared" ca="1" si="14"/>
        <v>45924</v>
      </c>
      <c r="L228" s="45" t="str">
        <f t="shared" si="15"/>
        <v>East</v>
      </c>
    </row>
    <row r="229" spans="1:12" ht="15" customHeight="1" x14ac:dyDescent="0.35">
      <c r="A229" s="44" t="s">
        <v>494</v>
      </c>
      <c r="B229" s="27" t="s">
        <v>495</v>
      </c>
      <c r="C229" s="27" t="s">
        <v>14</v>
      </c>
      <c r="D229" s="27" t="s">
        <v>72</v>
      </c>
      <c r="E229" s="27" t="s">
        <v>93</v>
      </c>
      <c r="F229" s="28">
        <v>1286.56</v>
      </c>
      <c r="G229" s="31">
        <f t="shared" si="12"/>
        <v>4</v>
      </c>
      <c r="H229" s="30">
        <v>72</v>
      </c>
      <c r="I229" s="32">
        <f t="shared" si="13"/>
        <v>5146.24</v>
      </c>
      <c r="J229" s="41" t="s">
        <v>77</v>
      </c>
      <c r="K229" s="33">
        <f t="shared" ca="1" si="14"/>
        <v>45695</v>
      </c>
      <c r="L229" s="45" t="str">
        <f t="shared" si="15"/>
        <v>West</v>
      </c>
    </row>
    <row r="230" spans="1:12" ht="15" customHeight="1" x14ac:dyDescent="0.35">
      <c r="A230" s="43" t="s">
        <v>496</v>
      </c>
      <c r="B230" s="25" t="s">
        <v>497</v>
      </c>
      <c r="C230" s="25" t="s">
        <v>38</v>
      </c>
      <c r="D230" s="25" t="s">
        <v>33</v>
      </c>
      <c r="E230" s="25" t="s">
        <v>28</v>
      </c>
      <c r="F230" s="26">
        <v>1526.16</v>
      </c>
      <c r="G230" s="31">
        <f t="shared" si="12"/>
        <v>1</v>
      </c>
      <c r="H230" s="29">
        <v>41</v>
      </c>
      <c r="I230" s="32">
        <f t="shared" si="13"/>
        <v>1526.16</v>
      </c>
      <c r="J230" s="38" t="s">
        <v>17</v>
      </c>
      <c r="K230" s="33">
        <f t="shared" ca="1" si="14"/>
        <v>45844</v>
      </c>
      <c r="L230" s="45" t="str">
        <f t="shared" si="15"/>
        <v>North</v>
      </c>
    </row>
    <row r="231" spans="1:12" ht="15" customHeight="1" x14ac:dyDescent="0.35">
      <c r="A231" s="44" t="s">
        <v>498</v>
      </c>
      <c r="B231" s="27" t="s">
        <v>499</v>
      </c>
      <c r="C231" s="27" t="s">
        <v>87</v>
      </c>
      <c r="D231" s="27" t="s">
        <v>72</v>
      </c>
      <c r="E231" s="27" t="s">
        <v>28</v>
      </c>
      <c r="F231" s="28">
        <v>2939.71</v>
      </c>
      <c r="G231" s="31">
        <f t="shared" si="12"/>
        <v>2</v>
      </c>
      <c r="H231" s="30">
        <v>75</v>
      </c>
      <c r="I231" s="32">
        <f t="shared" si="13"/>
        <v>5879.42</v>
      </c>
      <c r="J231" s="38" t="s">
        <v>17</v>
      </c>
      <c r="K231" s="33">
        <f t="shared" ca="1" si="14"/>
        <v>45812</v>
      </c>
      <c r="L231" s="45" t="str">
        <f t="shared" si="15"/>
        <v>South</v>
      </c>
    </row>
    <row r="232" spans="1:12" ht="15" customHeight="1" x14ac:dyDescent="0.35">
      <c r="A232" s="43" t="s">
        <v>500</v>
      </c>
      <c r="B232" s="25" t="s">
        <v>501</v>
      </c>
      <c r="C232" s="25" t="s">
        <v>20</v>
      </c>
      <c r="D232" s="25" t="s">
        <v>72</v>
      </c>
      <c r="E232" s="25" t="s">
        <v>16</v>
      </c>
      <c r="F232" s="26">
        <v>92.72</v>
      </c>
      <c r="G232" s="31">
        <f t="shared" si="12"/>
        <v>3</v>
      </c>
      <c r="H232" s="29">
        <v>89</v>
      </c>
      <c r="I232" s="32">
        <f t="shared" si="13"/>
        <v>278.15999999999997</v>
      </c>
      <c r="J232" s="39" t="s">
        <v>23</v>
      </c>
      <c r="K232" s="33">
        <f t="shared" ca="1" si="14"/>
        <v>45724</v>
      </c>
      <c r="L232" s="45" t="str">
        <f t="shared" si="15"/>
        <v>East</v>
      </c>
    </row>
    <row r="233" spans="1:12" ht="15" customHeight="1" x14ac:dyDescent="0.35">
      <c r="A233" s="44" t="s">
        <v>502</v>
      </c>
      <c r="B233" s="27" t="s">
        <v>503</v>
      </c>
      <c r="C233" s="27" t="s">
        <v>80</v>
      </c>
      <c r="D233" s="27" t="s">
        <v>15</v>
      </c>
      <c r="E233" s="27" t="s">
        <v>16</v>
      </c>
      <c r="F233" s="28">
        <v>2049.7399999999998</v>
      </c>
      <c r="G233" s="31">
        <f t="shared" si="12"/>
        <v>4</v>
      </c>
      <c r="H233" s="30">
        <v>12</v>
      </c>
      <c r="I233" s="32">
        <f t="shared" si="13"/>
        <v>8198.9599999999991</v>
      </c>
      <c r="J233" s="38" t="s">
        <v>17</v>
      </c>
      <c r="K233" s="33">
        <f t="shared" ca="1" si="14"/>
        <v>45835</v>
      </c>
      <c r="L233" s="45" t="str">
        <f t="shared" si="15"/>
        <v>West</v>
      </c>
    </row>
    <row r="234" spans="1:12" ht="15" customHeight="1" x14ac:dyDescent="0.35">
      <c r="A234" s="43" t="s">
        <v>504</v>
      </c>
      <c r="B234" s="25" t="s">
        <v>505</v>
      </c>
      <c r="C234" s="25" t="s">
        <v>67</v>
      </c>
      <c r="D234" s="25" t="s">
        <v>48</v>
      </c>
      <c r="E234" s="25" t="s">
        <v>16</v>
      </c>
      <c r="F234" s="26">
        <v>942.28</v>
      </c>
      <c r="G234" s="31">
        <f t="shared" si="12"/>
        <v>1</v>
      </c>
      <c r="H234" s="29">
        <v>34</v>
      </c>
      <c r="I234" s="32">
        <f t="shared" si="13"/>
        <v>942.28</v>
      </c>
      <c r="J234" s="39" t="s">
        <v>23</v>
      </c>
      <c r="K234" s="33">
        <f t="shared" ca="1" si="14"/>
        <v>45683</v>
      </c>
      <c r="L234" s="45" t="str">
        <f t="shared" si="15"/>
        <v>North</v>
      </c>
    </row>
    <row r="235" spans="1:12" ht="15" customHeight="1" x14ac:dyDescent="0.35">
      <c r="A235" s="44" t="s">
        <v>506</v>
      </c>
      <c r="B235" s="27" t="s">
        <v>507</v>
      </c>
      <c r="C235" s="27" t="s">
        <v>80</v>
      </c>
      <c r="D235" s="27" t="s">
        <v>51</v>
      </c>
      <c r="E235" s="27" t="s">
        <v>28</v>
      </c>
      <c r="F235" s="28">
        <v>4835.92</v>
      </c>
      <c r="G235" s="31">
        <f t="shared" si="12"/>
        <v>2</v>
      </c>
      <c r="H235" s="30">
        <v>93</v>
      </c>
      <c r="I235" s="32">
        <f t="shared" si="13"/>
        <v>9671.84</v>
      </c>
      <c r="J235" s="39" t="s">
        <v>23</v>
      </c>
      <c r="K235" s="33">
        <f t="shared" ca="1" si="14"/>
        <v>45802</v>
      </c>
      <c r="L235" s="45" t="str">
        <f t="shared" si="15"/>
        <v>South</v>
      </c>
    </row>
    <row r="236" spans="1:12" ht="15" customHeight="1" x14ac:dyDescent="0.35">
      <c r="A236" s="43" t="s">
        <v>508</v>
      </c>
      <c r="B236" s="25" t="s">
        <v>509</v>
      </c>
      <c r="C236" s="25" t="s">
        <v>32</v>
      </c>
      <c r="D236" s="25" t="s">
        <v>72</v>
      </c>
      <c r="E236" s="25" t="s">
        <v>43</v>
      </c>
      <c r="F236" s="26">
        <v>2917.82</v>
      </c>
      <c r="G236" s="31">
        <f t="shared" si="12"/>
        <v>3</v>
      </c>
      <c r="H236" s="29">
        <v>76</v>
      </c>
      <c r="I236" s="32">
        <f t="shared" si="13"/>
        <v>8753.4600000000009</v>
      </c>
      <c r="J236" s="39" t="s">
        <v>23</v>
      </c>
      <c r="K236" s="33">
        <f t="shared" ca="1" si="14"/>
        <v>45883</v>
      </c>
      <c r="L236" s="45" t="str">
        <f t="shared" si="15"/>
        <v>East</v>
      </c>
    </row>
    <row r="237" spans="1:12" ht="15" customHeight="1" x14ac:dyDescent="0.35">
      <c r="A237" s="44" t="s">
        <v>510</v>
      </c>
      <c r="B237" s="27" t="s">
        <v>511</v>
      </c>
      <c r="C237" s="27" t="s">
        <v>32</v>
      </c>
      <c r="D237" s="27" t="s">
        <v>42</v>
      </c>
      <c r="E237" s="27" t="s">
        <v>93</v>
      </c>
      <c r="F237" s="28">
        <v>4341.8</v>
      </c>
      <c r="G237" s="31">
        <f t="shared" si="12"/>
        <v>4</v>
      </c>
      <c r="H237" s="30">
        <v>84</v>
      </c>
      <c r="I237" s="32">
        <f t="shared" si="13"/>
        <v>17367.2</v>
      </c>
      <c r="J237" s="39" t="s">
        <v>23</v>
      </c>
      <c r="K237" s="33">
        <f t="shared" ca="1" si="14"/>
        <v>45790</v>
      </c>
      <c r="L237" s="45" t="str">
        <f t="shared" si="15"/>
        <v>West</v>
      </c>
    </row>
    <row r="238" spans="1:12" ht="15" customHeight="1" x14ac:dyDescent="0.35">
      <c r="A238" s="43" t="s">
        <v>512</v>
      </c>
      <c r="B238" s="25" t="s">
        <v>513</v>
      </c>
      <c r="C238" s="25" t="s">
        <v>14</v>
      </c>
      <c r="D238" s="25" t="s">
        <v>42</v>
      </c>
      <c r="E238" s="25" t="s">
        <v>28</v>
      </c>
      <c r="F238" s="26">
        <v>986.49</v>
      </c>
      <c r="G238" s="31">
        <f t="shared" si="12"/>
        <v>1</v>
      </c>
      <c r="H238" s="29">
        <v>79</v>
      </c>
      <c r="I238" s="32">
        <f t="shared" si="13"/>
        <v>986.49</v>
      </c>
      <c r="J238" s="38" t="s">
        <v>17</v>
      </c>
      <c r="K238" s="33">
        <f t="shared" ca="1" si="14"/>
        <v>45873</v>
      </c>
      <c r="L238" s="45" t="str">
        <f t="shared" si="15"/>
        <v>North</v>
      </c>
    </row>
    <row r="239" spans="1:12" ht="15" customHeight="1" x14ac:dyDescent="0.35">
      <c r="A239" s="44" t="s">
        <v>514</v>
      </c>
      <c r="B239" s="27" t="s">
        <v>515</v>
      </c>
      <c r="C239" s="27" t="s">
        <v>87</v>
      </c>
      <c r="D239" s="27" t="s">
        <v>15</v>
      </c>
      <c r="E239" s="27" t="s">
        <v>28</v>
      </c>
      <c r="F239" s="28">
        <v>4051.98</v>
      </c>
      <c r="G239" s="31">
        <f t="shared" si="12"/>
        <v>2</v>
      </c>
      <c r="H239" s="30">
        <v>55</v>
      </c>
      <c r="I239" s="32">
        <f t="shared" si="13"/>
        <v>8103.96</v>
      </c>
      <c r="J239" s="38" t="s">
        <v>17</v>
      </c>
      <c r="K239" s="33">
        <f t="shared" ca="1" si="14"/>
        <v>45882</v>
      </c>
      <c r="L239" s="45" t="str">
        <f t="shared" si="15"/>
        <v>South</v>
      </c>
    </row>
    <row r="240" spans="1:12" ht="15" customHeight="1" x14ac:dyDescent="0.35">
      <c r="A240" s="43" t="s">
        <v>516</v>
      </c>
      <c r="B240" s="25" t="s">
        <v>517</v>
      </c>
      <c r="C240" s="25" t="s">
        <v>87</v>
      </c>
      <c r="D240" s="25" t="s">
        <v>48</v>
      </c>
      <c r="E240" s="25" t="s">
        <v>28</v>
      </c>
      <c r="F240" s="26">
        <v>2079.7600000000002</v>
      </c>
      <c r="G240" s="31">
        <f t="shared" si="12"/>
        <v>3</v>
      </c>
      <c r="H240" s="29">
        <v>98</v>
      </c>
      <c r="I240" s="32">
        <f t="shared" si="13"/>
        <v>6239.2800000000007</v>
      </c>
      <c r="J240" s="38" t="s">
        <v>17</v>
      </c>
      <c r="K240" s="33">
        <f t="shared" ca="1" si="14"/>
        <v>45724</v>
      </c>
      <c r="L240" s="45" t="str">
        <f t="shared" si="15"/>
        <v>East</v>
      </c>
    </row>
    <row r="241" spans="1:12" ht="15" customHeight="1" x14ac:dyDescent="0.35">
      <c r="A241" s="44" t="s">
        <v>518</v>
      </c>
      <c r="B241" s="27" t="s">
        <v>519</v>
      </c>
      <c r="C241" s="27" t="s">
        <v>41</v>
      </c>
      <c r="D241" s="27" t="s">
        <v>27</v>
      </c>
      <c r="E241" s="27" t="s">
        <v>22</v>
      </c>
      <c r="F241" s="28">
        <v>896.7</v>
      </c>
      <c r="G241" s="31">
        <f t="shared" si="12"/>
        <v>4</v>
      </c>
      <c r="H241" s="30">
        <v>13</v>
      </c>
      <c r="I241" s="32">
        <f t="shared" si="13"/>
        <v>3586.8</v>
      </c>
      <c r="J241" s="38" t="s">
        <v>17</v>
      </c>
      <c r="K241" s="33">
        <f t="shared" ca="1" si="14"/>
        <v>45840</v>
      </c>
      <c r="L241" s="45" t="str">
        <f t="shared" si="15"/>
        <v>West</v>
      </c>
    </row>
    <row r="242" spans="1:12" ht="15" customHeight="1" x14ac:dyDescent="0.35">
      <c r="A242" s="43" t="s">
        <v>520</v>
      </c>
      <c r="B242" s="25" t="s">
        <v>521</v>
      </c>
      <c r="C242" s="25" t="s">
        <v>41</v>
      </c>
      <c r="D242" s="25" t="s">
        <v>51</v>
      </c>
      <c r="E242" s="25" t="s">
        <v>16</v>
      </c>
      <c r="F242" s="26">
        <v>3808.61</v>
      </c>
      <c r="G242" s="31">
        <f t="shared" si="12"/>
        <v>1</v>
      </c>
      <c r="H242" s="29">
        <v>11</v>
      </c>
      <c r="I242" s="32">
        <f t="shared" si="13"/>
        <v>3808.61</v>
      </c>
      <c r="J242" s="38" t="s">
        <v>17</v>
      </c>
      <c r="K242" s="33">
        <f t="shared" ca="1" si="14"/>
        <v>45943</v>
      </c>
      <c r="L242" s="45" t="str">
        <f t="shared" si="15"/>
        <v>North</v>
      </c>
    </row>
    <row r="243" spans="1:12" ht="15" customHeight="1" x14ac:dyDescent="0.35">
      <c r="A243" s="44" t="s">
        <v>522</v>
      </c>
      <c r="B243" s="27" t="s">
        <v>523</v>
      </c>
      <c r="C243" s="27" t="s">
        <v>41</v>
      </c>
      <c r="D243" s="27" t="s">
        <v>51</v>
      </c>
      <c r="E243" s="27" t="s">
        <v>88</v>
      </c>
      <c r="F243" s="28">
        <v>3812.44</v>
      </c>
      <c r="G243" s="31">
        <f t="shared" si="12"/>
        <v>2</v>
      </c>
      <c r="H243" s="30">
        <v>56</v>
      </c>
      <c r="I243" s="32">
        <f t="shared" si="13"/>
        <v>7624.88</v>
      </c>
      <c r="J243" s="38" t="s">
        <v>17</v>
      </c>
      <c r="K243" s="33">
        <f t="shared" ca="1" si="14"/>
        <v>45754</v>
      </c>
      <c r="L243" s="45" t="str">
        <f t="shared" si="15"/>
        <v>South</v>
      </c>
    </row>
    <row r="244" spans="1:12" ht="15" customHeight="1" x14ac:dyDescent="0.35">
      <c r="A244" s="43" t="s">
        <v>524</v>
      </c>
      <c r="B244" s="25" t="s">
        <v>525</v>
      </c>
      <c r="C244" s="25" t="s">
        <v>20</v>
      </c>
      <c r="D244" s="25" t="s">
        <v>21</v>
      </c>
      <c r="E244" s="25" t="s">
        <v>88</v>
      </c>
      <c r="F244" s="26">
        <v>4979.4799999999996</v>
      </c>
      <c r="G244" s="31">
        <f t="shared" si="12"/>
        <v>3</v>
      </c>
      <c r="H244" s="29">
        <v>81</v>
      </c>
      <c r="I244" s="32">
        <f t="shared" si="13"/>
        <v>14938.439999999999</v>
      </c>
      <c r="J244" s="38" t="s">
        <v>17</v>
      </c>
      <c r="K244" s="33">
        <f t="shared" ca="1" si="14"/>
        <v>46005</v>
      </c>
      <c r="L244" s="45" t="str">
        <f t="shared" si="15"/>
        <v>East</v>
      </c>
    </row>
    <row r="245" spans="1:12" ht="15" customHeight="1" x14ac:dyDescent="0.35">
      <c r="A245" s="44" t="s">
        <v>526</v>
      </c>
      <c r="B245" s="27" t="s">
        <v>527</v>
      </c>
      <c r="C245" s="27" t="s">
        <v>26</v>
      </c>
      <c r="D245" s="27" t="s">
        <v>48</v>
      </c>
      <c r="E245" s="27" t="s">
        <v>43</v>
      </c>
      <c r="F245" s="28">
        <v>3906.88</v>
      </c>
      <c r="G245" s="31">
        <f t="shared" si="12"/>
        <v>4</v>
      </c>
      <c r="H245" s="30">
        <v>72</v>
      </c>
      <c r="I245" s="32">
        <f t="shared" si="13"/>
        <v>15627.52</v>
      </c>
      <c r="J245" s="38" t="s">
        <v>17</v>
      </c>
      <c r="K245" s="33">
        <f t="shared" ca="1" si="14"/>
        <v>45725</v>
      </c>
      <c r="L245" s="45" t="str">
        <f t="shared" si="15"/>
        <v>West</v>
      </c>
    </row>
    <row r="246" spans="1:12" ht="15" customHeight="1" x14ac:dyDescent="0.35">
      <c r="A246" s="43" t="s">
        <v>528</v>
      </c>
      <c r="B246" s="25" t="s">
        <v>529</v>
      </c>
      <c r="C246" s="25" t="s">
        <v>62</v>
      </c>
      <c r="D246" s="25" t="s">
        <v>42</v>
      </c>
      <c r="E246" s="25" t="s">
        <v>22</v>
      </c>
      <c r="F246" s="26">
        <v>734.88</v>
      </c>
      <c r="G246" s="31">
        <f t="shared" si="12"/>
        <v>1</v>
      </c>
      <c r="H246" s="29">
        <v>55</v>
      </c>
      <c r="I246" s="32">
        <f t="shared" si="13"/>
        <v>734.88</v>
      </c>
      <c r="J246" s="38" t="s">
        <v>17</v>
      </c>
      <c r="K246" s="33">
        <f t="shared" ca="1" si="14"/>
        <v>45828</v>
      </c>
      <c r="L246" s="45" t="str">
        <f t="shared" si="15"/>
        <v>North</v>
      </c>
    </row>
    <row r="247" spans="1:12" ht="15" customHeight="1" x14ac:dyDescent="0.35">
      <c r="A247" s="44" t="s">
        <v>530</v>
      </c>
      <c r="B247" s="27" t="s">
        <v>531</v>
      </c>
      <c r="C247" s="27" t="s">
        <v>26</v>
      </c>
      <c r="D247" s="27" t="s">
        <v>42</v>
      </c>
      <c r="E247" s="27" t="s">
        <v>28</v>
      </c>
      <c r="F247" s="28">
        <v>1619.5</v>
      </c>
      <c r="G247" s="31">
        <f t="shared" si="12"/>
        <v>2</v>
      </c>
      <c r="H247" s="30">
        <v>70</v>
      </c>
      <c r="I247" s="32">
        <f t="shared" si="13"/>
        <v>3239</v>
      </c>
      <c r="J247" s="38" t="s">
        <v>17</v>
      </c>
      <c r="K247" s="33">
        <f t="shared" ca="1" si="14"/>
        <v>45836</v>
      </c>
      <c r="L247" s="45" t="str">
        <f t="shared" si="15"/>
        <v>South</v>
      </c>
    </row>
    <row r="248" spans="1:12" ht="15" customHeight="1" x14ac:dyDescent="0.35">
      <c r="A248" s="43" t="s">
        <v>532</v>
      </c>
      <c r="B248" s="25" t="s">
        <v>533</v>
      </c>
      <c r="C248" s="25" t="s">
        <v>80</v>
      </c>
      <c r="D248" s="25" t="s">
        <v>15</v>
      </c>
      <c r="E248" s="25" t="s">
        <v>28</v>
      </c>
      <c r="F248" s="26">
        <v>2264.12</v>
      </c>
      <c r="G248" s="31">
        <f t="shared" si="12"/>
        <v>3</v>
      </c>
      <c r="H248" s="29">
        <v>23</v>
      </c>
      <c r="I248" s="32">
        <f t="shared" si="13"/>
        <v>6792.36</v>
      </c>
      <c r="J248" s="41" t="s">
        <v>77</v>
      </c>
      <c r="K248" s="33">
        <f t="shared" ca="1" si="14"/>
        <v>46005</v>
      </c>
      <c r="L248" s="45" t="str">
        <f t="shared" si="15"/>
        <v>East</v>
      </c>
    </row>
    <row r="249" spans="1:12" ht="15" customHeight="1" x14ac:dyDescent="0.35">
      <c r="A249" s="44" t="s">
        <v>534</v>
      </c>
      <c r="B249" s="27" t="s">
        <v>535</v>
      </c>
      <c r="C249" s="27" t="s">
        <v>26</v>
      </c>
      <c r="D249" s="27" t="s">
        <v>72</v>
      </c>
      <c r="E249" s="27" t="s">
        <v>43</v>
      </c>
      <c r="F249" s="28">
        <v>642</v>
      </c>
      <c r="G249" s="31">
        <f t="shared" si="12"/>
        <v>4</v>
      </c>
      <c r="H249" s="30">
        <v>13</v>
      </c>
      <c r="I249" s="32">
        <f t="shared" si="13"/>
        <v>2568</v>
      </c>
      <c r="J249" s="38" t="s">
        <v>17</v>
      </c>
      <c r="K249" s="33">
        <f t="shared" ca="1" si="14"/>
        <v>45692</v>
      </c>
      <c r="L249" s="45" t="str">
        <f t="shared" si="15"/>
        <v>West</v>
      </c>
    </row>
    <row r="250" spans="1:12" ht="15" customHeight="1" x14ac:dyDescent="0.35">
      <c r="A250" s="43" t="s">
        <v>536</v>
      </c>
      <c r="B250" s="25" t="s">
        <v>537</v>
      </c>
      <c r="C250" s="25" t="s">
        <v>20</v>
      </c>
      <c r="D250" s="25" t="s">
        <v>48</v>
      </c>
      <c r="E250" s="25" t="s">
        <v>43</v>
      </c>
      <c r="F250" s="26">
        <v>3942.31</v>
      </c>
      <c r="G250" s="31">
        <f t="shared" si="12"/>
        <v>1</v>
      </c>
      <c r="H250" s="29">
        <v>59</v>
      </c>
      <c r="I250" s="32">
        <f t="shared" si="13"/>
        <v>3942.31</v>
      </c>
      <c r="J250" s="39" t="s">
        <v>23</v>
      </c>
      <c r="K250" s="33">
        <f t="shared" ca="1" si="14"/>
        <v>45737</v>
      </c>
      <c r="L250" s="45" t="str">
        <f t="shared" si="15"/>
        <v>North</v>
      </c>
    </row>
    <row r="251" spans="1:12" ht="15" customHeight="1" x14ac:dyDescent="0.35">
      <c r="A251" s="44" t="s">
        <v>538</v>
      </c>
      <c r="B251" s="27" t="s">
        <v>539</v>
      </c>
      <c r="C251" s="27" t="s">
        <v>80</v>
      </c>
      <c r="D251" s="27" t="s">
        <v>51</v>
      </c>
      <c r="E251" s="27" t="s">
        <v>28</v>
      </c>
      <c r="F251" s="28">
        <v>2638.23</v>
      </c>
      <c r="G251" s="31">
        <f t="shared" si="12"/>
        <v>2</v>
      </c>
      <c r="H251" s="30">
        <v>66</v>
      </c>
      <c r="I251" s="32">
        <f t="shared" si="13"/>
        <v>5276.46</v>
      </c>
      <c r="J251" s="38" t="s">
        <v>17</v>
      </c>
      <c r="K251" s="33">
        <f t="shared" ca="1" si="14"/>
        <v>45945</v>
      </c>
      <c r="L251" s="45" t="str">
        <f t="shared" si="15"/>
        <v>South</v>
      </c>
    </row>
    <row r="252" spans="1:12" ht="15" customHeight="1" x14ac:dyDescent="0.35">
      <c r="A252" s="43" t="s">
        <v>540</v>
      </c>
      <c r="B252" s="25" t="s">
        <v>541</v>
      </c>
      <c r="C252" s="25" t="s">
        <v>26</v>
      </c>
      <c r="D252" s="25" t="s">
        <v>33</v>
      </c>
      <c r="E252" s="25" t="s">
        <v>22</v>
      </c>
      <c r="F252" s="26">
        <v>4722.8</v>
      </c>
      <c r="G252" s="31">
        <f t="shared" si="12"/>
        <v>3</v>
      </c>
      <c r="H252" s="29">
        <v>54</v>
      </c>
      <c r="I252" s="32">
        <f t="shared" si="13"/>
        <v>14168.400000000001</v>
      </c>
      <c r="J252" s="38" t="s">
        <v>17</v>
      </c>
      <c r="K252" s="33">
        <f t="shared" ca="1" si="14"/>
        <v>45859</v>
      </c>
      <c r="L252" s="45" t="str">
        <f t="shared" si="15"/>
        <v>East</v>
      </c>
    </row>
    <row r="253" spans="1:12" ht="15" customHeight="1" x14ac:dyDescent="0.35">
      <c r="A253" s="44" t="s">
        <v>542</v>
      </c>
      <c r="B253" s="27" t="s">
        <v>543</v>
      </c>
      <c r="C253" s="27" t="s">
        <v>20</v>
      </c>
      <c r="D253" s="27" t="s">
        <v>42</v>
      </c>
      <c r="E253" s="27" t="s">
        <v>16</v>
      </c>
      <c r="F253" s="28">
        <v>2950.65</v>
      </c>
      <c r="G253" s="31">
        <f t="shared" si="12"/>
        <v>4</v>
      </c>
      <c r="H253" s="30">
        <v>25</v>
      </c>
      <c r="I253" s="32">
        <f t="shared" si="13"/>
        <v>11802.6</v>
      </c>
      <c r="J253" s="38" t="s">
        <v>17</v>
      </c>
      <c r="K253" s="33">
        <f t="shared" ca="1" si="14"/>
        <v>45927</v>
      </c>
      <c r="L253" s="45" t="str">
        <f t="shared" si="15"/>
        <v>West</v>
      </c>
    </row>
    <row r="254" spans="1:12" ht="15" customHeight="1" x14ac:dyDescent="0.35">
      <c r="A254" s="43" t="s">
        <v>544</v>
      </c>
      <c r="B254" s="25" t="s">
        <v>545</v>
      </c>
      <c r="C254" s="25" t="s">
        <v>62</v>
      </c>
      <c r="D254" s="25" t="s">
        <v>48</v>
      </c>
      <c r="E254" s="25" t="s">
        <v>93</v>
      </c>
      <c r="F254" s="26">
        <v>2619.27</v>
      </c>
      <c r="G254" s="31">
        <f t="shared" si="12"/>
        <v>1</v>
      </c>
      <c r="H254" s="29">
        <v>48</v>
      </c>
      <c r="I254" s="32">
        <f t="shared" si="13"/>
        <v>2619.27</v>
      </c>
      <c r="J254" s="38" t="s">
        <v>17</v>
      </c>
      <c r="K254" s="33">
        <f t="shared" ca="1" si="14"/>
        <v>45742</v>
      </c>
      <c r="L254" s="45" t="str">
        <f t="shared" si="15"/>
        <v>North</v>
      </c>
    </row>
    <row r="255" spans="1:12" ht="15" customHeight="1" x14ac:dyDescent="0.35">
      <c r="A255" s="44" t="s">
        <v>546</v>
      </c>
      <c r="B255" s="27" t="s">
        <v>547</v>
      </c>
      <c r="C255" s="27" t="s">
        <v>26</v>
      </c>
      <c r="D255" s="27" t="s">
        <v>21</v>
      </c>
      <c r="E255" s="27" t="s">
        <v>28</v>
      </c>
      <c r="F255" s="28">
        <v>366.41</v>
      </c>
      <c r="G255" s="31">
        <f t="shared" si="12"/>
        <v>2</v>
      </c>
      <c r="H255" s="30">
        <v>96</v>
      </c>
      <c r="I255" s="32">
        <f t="shared" si="13"/>
        <v>732.82</v>
      </c>
      <c r="J255" s="41" t="s">
        <v>77</v>
      </c>
      <c r="K255" s="33">
        <f t="shared" ca="1" si="14"/>
        <v>45885</v>
      </c>
      <c r="L255" s="45" t="str">
        <f t="shared" si="15"/>
        <v>South</v>
      </c>
    </row>
    <row r="256" spans="1:12" ht="15" customHeight="1" x14ac:dyDescent="0.35">
      <c r="A256" s="43" t="s">
        <v>548</v>
      </c>
      <c r="B256" s="25" t="s">
        <v>549</v>
      </c>
      <c r="C256" s="25" t="s">
        <v>20</v>
      </c>
      <c r="D256" s="25" t="s">
        <v>42</v>
      </c>
      <c r="E256" s="25" t="s">
        <v>28</v>
      </c>
      <c r="F256" s="26">
        <v>755.24</v>
      </c>
      <c r="G256" s="31">
        <f t="shared" si="12"/>
        <v>3</v>
      </c>
      <c r="H256" s="29">
        <v>17</v>
      </c>
      <c r="I256" s="32">
        <f t="shared" si="13"/>
        <v>2265.7200000000003</v>
      </c>
      <c r="J256" s="41" t="s">
        <v>77</v>
      </c>
      <c r="K256" s="33">
        <f t="shared" ca="1" si="14"/>
        <v>45995</v>
      </c>
      <c r="L256" s="45" t="str">
        <f t="shared" si="15"/>
        <v>East</v>
      </c>
    </row>
    <row r="257" spans="1:12" ht="15" customHeight="1" x14ac:dyDescent="0.35">
      <c r="A257" s="44" t="s">
        <v>550</v>
      </c>
      <c r="B257" s="27" t="s">
        <v>551</v>
      </c>
      <c r="C257" s="27" t="s">
        <v>41</v>
      </c>
      <c r="D257" s="27" t="s">
        <v>42</v>
      </c>
      <c r="E257" s="27" t="s">
        <v>16</v>
      </c>
      <c r="F257" s="28">
        <v>4249.1400000000003</v>
      </c>
      <c r="G257" s="31">
        <f t="shared" si="12"/>
        <v>4</v>
      </c>
      <c r="H257" s="30">
        <v>92</v>
      </c>
      <c r="I257" s="32">
        <f t="shared" si="13"/>
        <v>16996.560000000001</v>
      </c>
      <c r="J257" s="38" t="s">
        <v>17</v>
      </c>
      <c r="K257" s="33">
        <f t="shared" ca="1" si="14"/>
        <v>45669</v>
      </c>
      <c r="L257" s="45" t="str">
        <f t="shared" si="15"/>
        <v>West</v>
      </c>
    </row>
    <row r="258" spans="1:12" ht="15" customHeight="1" x14ac:dyDescent="0.35">
      <c r="A258" s="43" t="s">
        <v>552</v>
      </c>
      <c r="B258" s="25" t="s">
        <v>553</v>
      </c>
      <c r="C258" s="25" t="s">
        <v>87</v>
      </c>
      <c r="D258" s="25" t="s">
        <v>48</v>
      </c>
      <c r="E258" s="25" t="s">
        <v>43</v>
      </c>
      <c r="F258" s="26">
        <v>4953.47</v>
      </c>
      <c r="G258" s="31">
        <f t="shared" si="12"/>
        <v>1</v>
      </c>
      <c r="H258" s="29">
        <v>55</v>
      </c>
      <c r="I258" s="32">
        <f t="shared" si="13"/>
        <v>4953.47</v>
      </c>
      <c r="J258" s="41" t="s">
        <v>77</v>
      </c>
      <c r="K258" s="33">
        <f t="shared" ca="1" si="14"/>
        <v>45891</v>
      </c>
      <c r="L258" s="45" t="str">
        <f t="shared" si="15"/>
        <v>North</v>
      </c>
    </row>
    <row r="259" spans="1:12" ht="15" customHeight="1" x14ac:dyDescent="0.35">
      <c r="A259" s="44" t="s">
        <v>554</v>
      </c>
      <c r="B259" s="27" t="s">
        <v>555</v>
      </c>
      <c r="C259" s="27" t="s">
        <v>41</v>
      </c>
      <c r="D259" s="27" t="s">
        <v>15</v>
      </c>
      <c r="E259" s="27" t="s">
        <v>22</v>
      </c>
      <c r="F259" s="28">
        <v>2081.7399999999998</v>
      </c>
      <c r="G259" s="31">
        <f t="shared" ref="G259:G302" si="16">MOD(ROW()-2,4)+1</f>
        <v>2</v>
      </c>
      <c r="H259" s="30">
        <v>73</v>
      </c>
      <c r="I259" s="32">
        <f t="shared" ref="I259:I302" si="17">F259*G259</f>
        <v>4163.4799999999996</v>
      </c>
      <c r="J259" s="39" t="s">
        <v>23</v>
      </c>
      <c r="K259" s="33">
        <f t="shared" ref="K259:K302" ca="1" si="18">IF(ROW()&lt;=151,DATE(2024,RANDBETWEEN(1,12),RANDBETWEEN(1,28)),DATE(2025,RANDBETWEEN(1,12),RANDBETWEEN(1,28)))</f>
        <v>45712</v>
      </c>
      <c r="L259" s="45" t="str">
        <f t="shared" ref="L259:L302" si="19">CHOOSE(MOD(ROW()-2,4)+1,"North","South","East","West")</f>
        <v>South</v>
      </c>
    </row>
    <row r="260" spans="1:12" ht="15" customHeight="1" x14ac:dyDescent="0.35">
      <c r="A260" s="43" t="s">
        <v>556</v>
      </c>
      <c r="B260" s="25" t="s">
        <v>557</v>
      </c>
      <c r="C260" s="25" t="s">
        <v>87</v>
      </c>
      <c r="D260" s="25" t="s">
        <v>21</v>
      </c>
      <c r="E260" s="25" t="s">
        <v>93</v>
      </c>
      <c r="F260" s="26">
        <v>4052.33</v>
      </c>
      <c r="G260" s="31">
        <f t="shared" si="16"/>
        <v>3</v>
      </c>
      <c r="H260" s="29">
        <v>61</v>
      </c>
      <c r="I260" s="32">
        <f t="shared" si="17"/>
        <v>12156.99</v>
      </c>
      <c r="J260" s="38" t="s">
        <v>17</v>
      </c>
      <c r="K260" s="33">
        <f t="shared" ca="1" si="18"/>
        <v>45835</v>
      </c>
      <c r="L260" s="45" t="str">
        <f t="shared" si="19"/>
        <v>East</v>
      </c>
    </row>
    <row r="261" spans="1:12" ht="15" customHeight="1" x14ac:dyDescent="0.35">
      <c r="A261" s="44" t="s">
        <v>558</v>
      </c>
      <c r="B261" s="27" t="s">
        <v>559</v>
      </c>
      <c r="C261" s="27" t="s">
        <v>67</v>
      </c>
      <c r="D261" s="27" t="s">
        <v>33</v>
      </c>
      <c r="E261" s="27" t="s">
        <v>16</v>
      </c>
      <c r="F261" s="28">
        <v>3141.65</v>
      </c>
      <c r="G261" s="31">
        <f t="shared" si="16"/>
        <v>4</v>
      </c>
      <c r="H261" s="30">
        <v>28</v>
      </c>
      <c r="I261" s="32">
        <f t="shared" si="17"/>
        <v>12566.6</v>
      </c>
      <c r="J261" s="38" t="s">
        <v>17</v>
      </c>
      <c r="K261" s="33">
        <f t="shared" ca="1" si="18"/>
        <v>45833</v>
      </c>
      <c r="L261" s="45" t="str">
        <f t="shared" si="19"/>
        <v>West</v>
      </c>
    </row>
    <row r="262" spans="1:12" ht="15" customHeight="1" x14ac:dyDescent="0.35">
      <c r="A262" s="43" t="s">
        <v>560</v>
      </c>
      <c r="B262" s="25" t="s">
        <v>561</v>
      </c>
      <c r="C262" s="25" t="s">
        <v>67</v>
      </c>
      <c r="D262" s="25" t="s">
        <v>42</v>
      </c>
      <c r="E262" s="25" t="s">
        <v>43</v>
      </c>
      <c r="F262" s="26">
        <v>4795.71</v>
      </c>
      <c r="G262" s="31">
        <f t="shared" si="16"/>
        <v>1</v>
      </c>
      <c r="H262" s="29">
        <v>99</v>
      </c>
      <c r="I262" s="32">
        <f t="shared" si="17"/>
        <v>4795.71</v>
      </c>
      <c r="J262" s="41" t="s">
        <v>77</v>
      </c>
      <c r="K262" s="33">
        <f t="shared" ca="1" si="18"/>
        <v>45771</v>
      </c>
      <c r="L262" s="45" t="str">
        <f t="shared" si="19"/>
        <v>North</v>
      </c>
    </row>
    <row r="263" spans="1:12" ht="15" customHeight="1" x14ac:dyDescent="0.35">
      <c r="A263" s="44" t="s">
        <v>562</v>
      </c>
      <c r="B263" s="27" t="s">
        <v>563</v>
      </c>
      <c r="C263" s="27" t="s">
        <v>67</v>
      </c>
      <c r="D263" s="27" t="s">
        <v>42</v>
      </c>
      <c r="E263" s="27" t="s">
        <v>28</v>
      </c>
      <c r="F263" s="28">
        <v>1198.3</v>
      </c>
      <c r="G263" s="31">
        <f t="shared" si="16"/>
        <v>2</v>
      </c>
      <c r="H263" s="30">
        <v>91</v>
      </c>
      <c r="I263" s="32">
        <f t="shared" si="17"/>
        <v>2396.6</v>
      </c>
      <c r="J263" s="41" t="s">
        <v>77</v>
      </c>
      <c r="K263" s="33">
        <f t="shared" ca="1" si="18"/>
        <v>45697</v>
      </c>
      <c r="L263" s="45" t="str">
        <f t="shared" si="19"/>
        <v>South</v>
      </c>
    </row>
    <row r="264" spans="1:12" ht="15" customHeight="1" x14ac:dyDescent="0.35">
      <c r="A264" s="43" t="s">
        <v>564</v>
      </c>
      <c r="B264" s="25" t="s">
        <v>565</v>
      </c>
      <c r="C264" s="25" t="s">
        <v>62</v>
      </c>
      <c r="D264" s="25" t="s">
        <v>42</v>
      </c>
      <c r="E264" s="25" t="s">
        <v>28</v>
      </c>
      <c r="F264" s="26">
        <v>2728.73</v>
      </c>
      <c r="G264" s="31">
        <f t="shared" si="16"/>
        <v>3</v>
      </c>
      <c r="H264" s="29">
        <v>38</v>
      </c>
      <c r="I264" s="32">
        <f t="shared" si="17"/>
        <v>8186.1900000000005</v>
      </c>
      <c r="J264" s="38" t="s">
        <v>17</v>
      </c>
      <c r="K264" s="33">
        <f t="shared" ca="1" si="18"/>
        <v>45727</v>
      </c>
      <c r="L264" s="45" t="str">
        <f t="shared" si="19"/>
        <v>East</v>
      </c>
    </row>
    <row r="265" spans="1:12" ht="15" customHeight="1" x14ac:dyDescent="0.35">
      <c r="A265" s="44" t="s">
        <v>566</v>
      </c>
      <c r="B265" s="27" t="s">
        <v>567</v>
      </c>
      <c r="C265" s="27" t="s">
        <v>41</v>
      </c>
      <c r="D265" s="27" t="s">
        <v>42</v>
      </c>
      <c r="E265" s="27" t="s">
        <v>16</v>
      </c>
      <c r="F265" s="28">
        <v>2049.89</v>
      </c>
      <c r="G265" s="31">
        <f t="shared" si="16"/>
        <v>4</v>
      </c>
      <c r="H265" s="30">
        <v>60</v>
      </c>
      <c r="I265" s="32">
        <f t="shared" si="17"/>
        <v>8199.56</v>
      </c>
      <c r="J265" s="41" t="s">
        <v>77</v>
      </c>
      <c r="K265" s="33">
        <f t="shared" ca="1" si="18"/>
        <v>45740</v>
      </c>
      <c r="L265" s="45" t="str">
        <f t="shared" si="19"/>
        <v>West</v>
      </c>
    </row>
    <row r="266" spans="1:12" ht="15" customHeight="1" x14ac:dyDescent="0.35">
      <c r="A266" s="43" t="s">
        <v>568</v>
      </c>
      <c r="B266" s="25" t="s">
        <v>569</v>
      </c>
      <c r="C266" s="25" t="s">
        <v>87</v>
      </c>
      <c r="D266" s="25" t="s">
        <v>72</v>
      </c>
      <c r="E266" s="25" t="s">
        <v>22</v>
      </c>
      <c r="F266" s="26">
        <v>2713.16</v>
      </c>
      <c r="G266" s="31">
        <f t="shared" si="16"/>
        <v>1</v>
      </c>
      <c r="H266" s="29">
        <v>23</v>
      </c>
      <c r="I266" s="32">
        <f t="shared" si="17"/>
        <v>2713.16</v>
      </c>
      <c r="J266" s="39" t="s">
        <v>23</v>
      </c>
      <c r="K266" s="33">
        <f t="shared" ca="1" si="18"/>
        <v>45921</v>
      </c>
      <c r="L266" s="45" t="str">
        <f t="shared" si="19"/>
        <v>North</v>
      </c>
    </row>
    <row r="267" spans="1:12" ht="15" customHeight="1" x14ac:dyDescent="0.35">
      <c r="A267" s="44" t="s">
        <v>570</v>
      </c>
      <c r="B267" s="27" t="s">
        <v>571</v>
      </c>
      <c r="C267" s="27" t="s">
        <v>20</v>
      </c>
      <c r="D267" s="27" t="s">
        <v>21</v>
      </c>
      <c r="E267" s="27" t="s">
        <v>22</v>
      </c>
      <c r="F267" s="28">
        <v>1351.6</v>
      </c>
      <c r="G267" s="31">
        <f t="shared" si="16"/>
        <v>2</v>
      </c>
      <c r="H267" s="30">
        <v>45</v>
      </c>
      <c r="I267" s="32">
        <f t="shared" si="17"/>
        <v>2703.2</v>
      </c>
      <c r="J267" s="38" t="s">
        <v>17</v>
      </c>
      <c r="K267" s="33">
        <f t="shared" ca="1" si="18"/>
        <v>45787</v>
      </c>
      <c r="L267" s="45" t="str">
        <f t="shared" si="19"/>
        <v>South</v>
      </c>
    </row>
    <row r="268" spans="1:12" ht="15" customHeight="1" x14ac:dyDescent="0.35">
      <c r="A268" s="43" t="s">
        <v>572</v>
      </c>
      <c r="B268" s="25" t="s">
        <v>573</v>
      </c>
      <c r="C268" s="25" t="s">
        <v>80</v>
      </c>
      <c r="D268" s="25" t="s">
        <v>21</v>
      </c>
      <c r="E268" s="25" t="s">
        <v>28</v>
      </c>
      <c r="F268" s="26">
        <v>2493.75</v>
      </c>
      <c r="G268" s="31">
        <f t="shared" si="16"/>
        <v>3</v>
      </c>
      <c r="H268" s="29">
        <v>20</v>
      </c>
      <c r="I268" s="32">
        <f t="shared" si="17"/>
        <v>7481.25</v>
      </c>
      <c r="J268" s="38" t="s">
        <v>17</v>
      </c>
      <c r="K268" s="33">
        <f t="shared" ca="1" si="18"/>
        <v>45883</v>
      </c>
      <c r="L268" s="45" t="str">
        <f t="shared" si="19"/>
        <v>East</v>
      </c>
    </row>
    <row r="269" spans="1:12" ht="15" customHeight="1" x14ac:dyDescent="0.35">
      <c r="A269" s="44" t="s">
        <v>574</v>
      </c>
      <c r="B269" s="27" t="s">
        <v>575</v>
      </c>
      <c r="C269" s="27" t="s">
        <v>20</v>
      </c>
      <c r="D269" s="27" t="s">
        <v>72</v>
      </c>
      <c r="E269" s="27" t="s">
        <v>93</v>
      </c>
      <c r="F269" s="28">
        <v>3127.77</v>
      </c>
      <c r="G269" s="31">
        <f t="shared" si="16"/>
        <v>4</v>
      </c>
      <c r="H269" s="30">
        <v>65</v>
      </c>
      <c r="I269" s="32">
        <f t="shared" si="17"/>
        <v>12511.08</v>
      </c>
      <c r="J269" s="39" t="s">
        <v>23</v>
      </c>
      <c r="K269" s="33">
        <f t="shared" ca="1" si="18"/>
        <v>45998</v>
      </c>
      <c r="L269" s="45" t="str">
        <f t="shared" si="19"/>
        <v>West</v>
      </c>
    </row>
    <row r="270" spans="1:12" ht="15" customHeight="1" x14ac:dyDescent="0.35">
      <c r="A270" s="43" t="s">
        <v>576</v>
      </c>
      <c r="B270" s="25" t="s">
        <v>577</v>
      </c>
      <c r="C270" s="25" t="s">
        <v>80</v>
      </c>
      <c r="D270" s="25" t="s">
        <v>21</v>
      </c>
      <c r="E270" s="25" t="s">
        <v>88</v>
      </c>
      <c r="F270" s="26">
        <v>415.27</v>
      </c>
      <c r="G270" s="31">
        <f t="shared" si="16"/>
        <v>1</v>
      </c>
      <c r="H270" s="29">
        <v>59</v>
      </c>
      <c r="I270" s="32">
        <f t="shared" si="17"/>
        <v>415.27</v>
      </c>
      <c r="J270" s="41" t="s">
        <v>77</v>
      </c>
      <c r="K270" s="33">
        <f t="shared" ca="1" si="18"/>
        <v>45791</v>
      </c>
      <c r="L270" s="45" t="str">
        <f t="shared" si="19"/>
        <v>North</v>
      </c>
    </row>
    <row r="271" spans="1:12" ht="15" customHeight="1" x14ac:dyDescent="0.35">
      <c r="A271" s="44" t="s">
        <v>578</v>
      </c>
      <c r="B271" s="27" t="s">
        <v>579</v>
      </c>
      <c r="C271" s="27" t="s">
        <v>32</v>
      </c>
      <c r="D271" s="27" t="s">
        <v>48</v>
      </c>
      <c r="E271" s="27" t="s">
        <v>28</v>
      </c>
      <c r="F271" s="28">
        <v>3717.51</v>
      </c>
      <c r="G271" s="31">
        <f t="shared" si="16"/>
        <v>2</v>
      </c>
      <c r="H271" s="30">
        <v>54</v>
      </c>
      <c r="I271" s="32">
        <f t="shared" si="17"/>
        <v>7435.02</v>
      </c>
      <c r="J271" s="40" t="s">
        <v>29</v>
      </c>
      <c r="K271" s="33">
        <f t="shared" ca="1" si="18"/>
        <v>46019</v>
      </c>
      <c r="L271" s="45" t="str">
        <f t="shared" si="19"/>
        <v>South</v>
      </c>
    </row>
    <row r="272" spans="1:12" ht="15" customHeight="1" x14ac:dyDescent="0.35">
      <c r="A272" s="43" t="s">
        <v>580</v>
      </c>
      <c r="B272" s="25" t="s">
        <v>581</v>
      </c>
      <c r="C272" s="25" t="s">
        <v>20</v>
      </c>
      <c r="D272" s="25" t="s">
        <v>72</v>
      </c>
      <c r="E272" s="25" t="s">
        <v>28</v>
      </c>
      <c r="F272" s="26">
        <v>3535.55</v>
      </c>
      <c r="G272" s="31">
        <f t="shared" si="16"/>
        <v>3</v>
      </c>
      <c r="H272" s="29">
        <v>82</v>
      </c>
      <c r="I272" s="32">
        <f t="shared" si="17"/>
        <v>10606.650000000001</v>
      </c>
      <c r="J272" s="38" t="s">
        <v>17</v>
      </c>
      <c r="K272" s="33">
        <f t="shared" ca="1" si="18"/>
        <v>45727</v>
      </c>
      <c r="L272" s="45" t="str">
        <f t="shared" si="19"/>
        <v>East</v>
      </c>
    </row>
    <row r="273" spans="1:12" ht="15" customHeight="1" x14ac:dyDescent="0.35">
      <c r="A273" s="44" t="s">
        <v>582</v>
      </c>
      <c r="B273" s="27" t="s">
        <v>583</v>
      </c>
      <c r="C273" s="27" t="s">
        <v>26</v>
      </c>
      <c r="D273" s="27" t="s">
        <v>27</v>
      </c>
      <c r="E273" s="27" t="s">
        <v>43</v>
      </c>
      <c r="F273" s="28">
        <v>4403.4799999999996</v>
      </c>
      <c r="G273" s="31">
        <f t="shared" si="16"/>
        <v>4</v>
      </c>
      <c r="H273" s="30">
        <v>48</v>
      </c>
      <c r="I273" s="32">
        <f t="shared" si="17"/>
        <v>17613.919999999998</v>
      </c>
      <c r="J273" s="38" t="s">
        <v>17</v>
      </c>
      <c r="K273" s="33">
        <f t="shared" ca="1" si="18"/>
        <v>45726</v>
      </c>
      <c r="L273" s="45" t="str">
        <f t="shared" si="19"/>
        <v>West</v>
      </c>
    </row>
    <row r="274" spans="1:12" ht="15" customHeight="1" x14ac:dyDescent="0.35">
      <c r="A274" s="43" t="s">
        <v>584</v>
      </c>
      <c r="B274" s="25" t="s">
        <v>585</v>
      </c>
      <c r="C274" s="25" t="s">
        <v>26</v>
      </c>
      <c r="D274" s="25" t="s">
        <v>72</v>
      </c>
      <c r="E274" s="25" t="s">
        <v>88</v>
      </c>
      <c r="F274" s="26">
        <v>2135.02</v>
      </c>
      <c r="G274" s="31">
        <f t="shared" si="16"/>
        <v>1</v>
      </c>
      <c r="H274" s="29">
        <v>74</v>
      </c>
      <c r="I274" s="32">
        <f t="shared" si="17"/>
        <v>2135.02</v>
      </c>
      <c r="J274" s="38" t="s">
        <v>17</v>
      </c>
      <c r="K274" s="33">
        <f t="shared" ca="1" si="18"/>
        <v>45795</v>
      </c>
      <c r="L274" s="45" t="str">
        <f t="shared" si="19"/>
        <v>North</v>
      </c>
    </row>
    <row r="275" spans="1:12" ht="15" customHeight="1" x14ac:dyDescent="0.35">
      <c r="A275" s="44" t="s">
        <v>586</v>
      </c>
      <c r="B275" s="27" t="s">
        <v>587</v>
      </c>
      <c r="C275" s="27" t="s">
        <v>14</v>
      </c>
      <c r="D275" s="27" t="s">
        <v>72</v>
      </c>
      <c r="E275" s="27" t="s">
        <v>28</v>
      </c>
      <c r="F275" s="28">
        <v>317.73</v>
      </c>
      <c r="G275" s="31">
        <f t="shared" si="16"/>
        <v>2</v>
      </c>
      <c r="H275" s="30">
        <v>43</v>
      </c>
      <c r="I275" s="32">
        <f t="shared" si="17"/>
        <v>635.46</v>
      </c>
      <c r="J275" s="38" t="s">
        <v>17</v>
      </c>
      <c r="K275" s="33">
        <f t="shared" ca="1" si="18"/>
        <v>45847</v>
      </c>
      <c r="L275" s="45" t="str">
        <f t="shared" si="19"/>
        <v>South</v>
      </c>
    </row>
    <row r="276" spans="1:12" ht="15" customHeight="1" x14ac:dyDescent="0.35">
      <c r="A276" s="43" t="s">
        <v>588</v>
      </c>
      <c r="B276" s="25" t="s">
        <v>589</v>
      </c>
      <c r="C276" s="25" t="s">
        <v>41</v>
      </c>
      <c r="D276" s="25" t="s">
        <v>42</v>
      </c>
      <c r="E276" s="25" t="s">
        <v>93</v>
      </c>
      <c r="F276" s="26">
        <v>2312.69</v>
      </c>
      <c r="G276" s="31">
        <f t="shared" si="16"/>
        <v>3</v>
      </c>
      <c r="H276" s="29">
        <v>39</v>
      </c>
      <c r="I276" s="32">
        <f t="shared" si="17"/>
        <v>6938.07</v>
      </c>
      <c r="J276" s="39" t="s">
        <v>23</v>
      </c>
      <c r="K276" s="33">
        <f t="shared" ca="1" si="18"/>
        <v>45931</v>
      </c>
      <c r="L276" s="45" t="str">
        <f t="shared" si="19"/>
        <v>East</v>
      </c>
    </row>
    <row r="277" spans="1:12" ht="15" customHeight="1" x14ac:dyDescent="0.35">
      <c r="A277" s="44" t="s">
        <v>590</v>
      </c>
      <c r="B277" s="27" t="s">
        <v>591</v>
      </c>
      <c r="C277" s="27" t="s">
        <v>80</v>
      </c>
      <c r="D277" s="27" t="s">
        <v>33</v>
      </c>
      <c r="E277" s="27" t="s">
        <v>22</v>
      </c>
      <c r="F277" s="28">
        <v>696.67</v>
      </c>
      <c r="G277" s="31">
        <f t="shared" si="16"/>
        <v>4</v>
      </c>
      <c r="H277" s="30">
        <v>30</v>
      </c>
      <c r="I277" s="32">
        <f t="shared" si="17"/>
        <v>2786.68</v>
      </c>
      <c r="J277" s="38" t="s">
        <v>17</v>
      </c>
      <c r="K277" s="33">
        <f t="shared" ca="1" si="18"/>
        <v>45749</v>
      </c>
      <c r="L277" s="45" t="str">
        <f t="shared" si="19"/>
        <v>West</v>
      </c>
    </row>
    <row r="278" spans="1:12" ht="15" customHeight="1" x14ac:dyDescent="0.35">
      <c r="A278" s="43" t="s">
        <v>592</v>
      </c>
      <c r="B278" s="25" t="s">
        <v>593</v>
      </c>
      <c r="C278" s="25" t="s">
        <v>80</v>
      </c>
      <c r="D278" s="25" t="s">
        <v>27</v>
      </c>
      <c r="E278" s="25" t="s">
        <v>43</v>
      </c>
      <c r="F278" s="26">
        <v>3240.76</v>
      </c>
      <c r="G278" s="31">
        <f t="shared" si="16"/>
        <v>1</v>
      </c>
      <c r="H278" s="29">
        <v>84</v>
      </c>
      <c r="I278" s="32">
        <f t="shared" si="17"/>
        <v>3240.76</v>
      </c>
      <c r="J278" s="38" t="s">
        <v>17</v>
      </c>
      <c r="K278" s="33">
        <f t="shared" ca="1" si="18"/>
        <v>45985</v>
      </c>
      <c r="L278" s="45" t="str">
        <f t="shared" si="19"/>
        <v>North</v>
      </c>
    </row>
    <row r="279" spans="1:12" ht="15" customHeight="1" x14ac:dyDescent="0.35">
      <c r="A279" s="44" t="s">
        <v>594</v>
      </c>
      <c r="B279" s="27" t="s">
        <v>595</v>
      </c>
      <c r="C279" s="27" t="s">
        <v>41</v>
      </c>
      <c r="D279" s="27" t="s">
        <v>21</v>
      </c>
      <c r="E279" s="27" t="s">
        <v>28</v>
      </c>
      <c r="F279" s="28">
        <v>245.19</v>
      </c>
      <c r="G279" s="31">
        <f t="shared" si="16"/>
        <v>2</v>
      </c>
      <c r="H279" s="30">
        <v>12</v>
      </c>
      <c r="I279" s="32">
        <f t="shared" si="17"/>
        <v>490.38</v>
      </c>
      <c r="J279" s="38" t="s">
        <v>17</v>
      </c>
      <c r="K279" s="33">
        <f t="shared" ca="1" si="18"/>
        <v>45903</v>
      </c>
      <c r="L279" s="45" t="str">
        <f t="shared" si="19"/>
        <v>South</v>
      </c>
    </row>
    <row r="280" spans="1:12" ht="15" customHeight="1" x14ac:dyDescent="0.35">
      <c r="A280" s="43" t="s">
        <v>596</v>
      </c>
      <c r="B280" s="25" t="s">
        <v>597</v>
      </c>
      <c r="C280" s="25" t="s">
        <v>62</v>
      </c>
      <c r="D280" s="25" t="s">
        <v>27</v>
      </c>
      <c r="E280" s="25" t="s">
        <v>16</v>
      </c>
      <c r="F280" s="26">
        <v>1876.24</v>
      </c>
      <c r="G280" s="31">
        <f t="shared" si="16"/>
        <v>3</v>
      </c>
      <c r="H280" s="29">
        <v>41</v>
      </c>
      <c r="I280" s="32">
        <f t="shared" si="17"/>
        <v>5628.72</v>
      </c>
      <c r="J280" s="38" t="s">
        <v>17</v>
      </c>
      <c r="K280" s="33">
        <f t="shared" ca="1" si="18"/>
        <v>45992</v>
      </c>
      <c r="L280" s="45" t="str">
        <f t="shared" si="19"/>
        <v>East</v>
      </c>
    </row>
    <row r="281" spans="1:12" ht="15" customHeight="1" x14ac:dyDescent="0.35">
      <c r="A281" s="44" t="s">
        <v>598</v>
      </c>
      <c r="B281" s="27" t="s">
        <v>599</v>
      </c>
      <c r="C281" s="27" t="s">
        <v>14</v>
      </c>
      <c r="D281" s="27" t="s">
        <v>33</v>
      </c>
      <c r="E281" s="27" t="s">
        <v>88</v>
      </c>
      <c r="F281" s="28">
        <v>423.39</v>
      </c>
      <c r="G281" s="31">
        <f t="shared" si="16"/>
        <v>4</v>
      </c>
      <c r="H281" s="30">
        <v>66</v>
      </c>
      <c r="I281" s="32">
        <f t="shared" si="17"/>
        <v>1693.56</v>
      </c>
      <c r="J281" s="38" t="s">
        <v>17</v>
      </c>
      <c r="K281" s="33">
        <f t="shared" ca="1" si="18"/>
        <v>45918</v>
      </c>
      <c r="L281" s="45" t="str">
        <f t="shared" si="19"/>
        <v>West</v>
      </c>
    </row>
    <row r="282" spans="1:12" ht="15" customHeight="1" x14ac:dyDescent="0.35">
      <c r="A282" s="43" t="s">
        <v>600</v>
      </c>
      <c r="B282" s="25" t="s">
        <v>601</v>
      </c>
      <c r="C282" s="25" t="s">
        <v>62</v>
      </c>
      <c r="D282" s="25" t="s">
        <v>48</v>
      </c>
      <c r="E282" s="25" t="s">
        <v>16</v>
      </c>
      <c r="F282" s="26">
        <v>26.8</v>
      </c>
      <c r="G282" s="31">
        <f t="shared" si="16"/>
        <v>1</v>
      </c>
      <c r="H282" s="29">
        <v>77</v>
      </c>
      <c r="I282" s="32">
        <f t="shared" si="17"/>
        <v>26.8</v>
      </c>
      <c r="J282" s="40" t="s">
        <v>29</v>
      </c>
      <c r="K282" s="33">
        <f t="shared" ca="1" si="18"/>
        <v>45689</v>
      </c>
      <c r="L282" s="45" t="str">
        <f t="shared" si="19"/>
        <v>North</v>
      </c>
    </row>
    <row r="283" spans="1:12" ht="15" customHeight="1" x14ac:dyDescent="0.35">
      <c r="A283" s="44" t="s">
        <v>602</v>
      </c>
      <c r="B283" s="27" t="s">
        <v>603</v>
      </c>
      <c r="C283" s="27" t="s">
        <v>62</v>
      </c>
      <c r="D283" s="27" t="s">
        <v>72</v>
      </c>
      <c r="E283" s="27" t="s">
        <v>16</v>
      </c>
      <c r="F283" s="28">
        <v>4803.18</v>
      </c>
      <c r="G283" s="31">
        <f t="shared" si="16"/>
        <v>2</v>
      </c>
      <c r="H283" s="30">
        <v>95</v>
      </c>
      <c r="I283" s="32">
        <f t="shared" si="17"/>
        <v>9606.36</v>
      </c>
      <c r="J283" s="38" t="s">
        <v>17</v>
      </c>
      <c r="K283" s="33">
        <f t="shared" ca="1" si="18"/>
        <v>45915</v>
      </c>
      <c r="L283" s="45" t="str">
        <f t="shared" si="19"/>
        <v>South</v>
      </c>
    </row>
    <row r="284" spans="1:12" ht="15" customHeight="1" x14ac:dyDescent="0.35">
      <c r="A284" s="43" t="s">
        <v>604</v>
      </c>
      <c r="B284" s="25" t="s">
        <v>605</v>
      </c>
      <c r="C284" s="25" t="s">
        <v>62</v>
      </c>
      <c r="D284" s="25" t="s">
        <v>33</v>
      </c>
      <c r="E284" s="25" t="s">
        <v>22</v>
      </c>
      <c r="F284" s="26">
        <v>4980.68</v>
      </c>
      <c r="G284" s="31">
        <f t="shared" si="16"/>
        <v>3</v>
      </c>
      <c r="H284" s="29">
        <v>66</v>
      </c>
      <c r="I284" s="32">
        <f t="shared" si="17"/>
        <v>14942.04</v>
      </c>
      <c r="J284" s="38" t="s">
        <v>17</v>
      </c>
      <c r="K284" s="33">
        <f t="shared" ca="1" si="18"/>
        <v>46012</v>
      </c>
      <c r="L284" s="45" t="str">
        <f t="shared" si="19"/>
        <v>East</v>
      </c>
    </row>
    <row r="285" spans="1:12" ht="15" customHeight="1" x14ac:dyDescent="0.35">
      <c r="A285" s="44" t="s">
        <v>606</v>
      </c>
      <c r="B285" s="27" t="s">
        <v>607</v>
      </c>
      <c r="C285" s="27" t="s">
        <v>41</v>
      </c>
      <c r="D285" s="27" t="s">
        <v>15</v>
      </c>
      <c r="E285" s="27" t="s">
        <v>88</v>
      </c>
      <c r="F285" s="28">
        <v>2781.96</v>
      </c>
      <c r="G285" s="31">
        <f t="shared" si="16"/>
        <v>4</v>
      </c>
      <c r="H285" s="30">
        <v>32</v>
      </c>
      <c r="I285" s="32">
        <f t="shared" si="17"/>
        <v>11127.84</v>
      </c>
      <c r="J285" s="38" t="s">
        <v>17</v>
      </c>
      <c r="K285" s="33">
        <f t="shared" ca="1" si="18"/>
        <v>45847</v>
      </c>
      <c r="L285" s="45" t="str">
        <f t="shared" si="19"/>
        <v>West</v>
      </c>
    </row>
    <row r="286" spans="1:12" ht="15" customHeight="1" x14ac:dyDescent="0.35">
      <c r="A286" s="43" t="s">
        <v>608</v>
      </c>
      <c r="B286" s="25" t="s">
        <v>609</v>
      </c>
      <c r="C286" s="25" t="s">
        <v>62</v>
      </c>
      <c r="D286" s="25" t="s">
        <v>27</v>
      </c>
      <c r="E286" s="25" t="s">
        <v>16</v>
      </c>
      <c r="F286" s="26">
        <v>1202.3900000000001</v>
      </c>
      <c r="G286" s="31">
        <f t="shared" si="16"/>
        <v>1</v>
      </c>
      <c r="H286" s="29">
        <v>59</v>
      </c>
      <c r="I286" s="32">
        <f t="shared" si="17"/>
        <v>1202.3900000000001</v>
      </c>
      <c r="J286" s="40" t="s">
        <v>29</v>
      </c>
      <c r="K286" s="33">
        <f t="shared" ca="1" si="18"/>
        <v>45824</v>
      </c>
      <c r="L286" s="45" t="str">
        <f t="shared" si="19"/>
        <v>North</v>
      </c>
    </row>
    <row r="287" spans="1:12" ht="15" customHeight="1" x14ac:dyDescent="0.35">
      <c r="A287" s="44" t="s">
        <v>610</v>
      </c>
      <c r="B287" s="27" t="s">
        <v>611</v>
      </c>
      <c r="C287" s="27" t="s">
        <v>26</v>
      </c>
      <c r="D287" s="27" t="s">
        <v>51</v>
      </c>
      <c r="E287" s="27" t="s">
        <v>22</v>
      </c>
      <c r="F287" s="28">
        <v>4556.38</v>
      </c>
      <c r="G287" s="31">
        <f t="shared" si="16"/>
        <v>2</v>
      </c>
      <c r="H287" s="30">
        <v>24</v>
      </c>
      <c r="I287" s="32">
        <f t="shared" si="17"/>
        <v>9112.76</v>
      </c>
      <c r="J287" s="38" t="s">
        <v>17</v>
      </c>
      <c r="K287" s="33">
        <f t="shared" ca="1" si="18"/>
        <v>45742</v>
      </c>
      <c r="L287" s="45" t="str">
        <f t="shared" si="19"/>
        <v>South</v>
      </c>
    </row>
    <row r="288" spans="1:12" ht="15" customHeight="1" x14ac:dyDescent="0.35">
      <c r="A288" s="43" t="s">
        <v>612</v>
      </c>
      <c r="B288" s="25" t="s">
        <v>613</v>
      </c>
      <c r="C288" s="25" t="s">
        <v>67</v>
      </c>
      <c r="D288" s="25" t="s">
        <v>48</v>
      </c>
      <c r="E288" s="25" t="s">
        <v>16</v>
      </c>
      <c r="F288" s="26">
        <v>4615.95</v>
      </c>
      <c r="G288" s="31">
        <f t="shared" si="16"/>
        <v>3</v>
      </c>
      <c r="H288" s="29">
        <v>59</v>
      </c>
      <c r="I288" s="32">
        <f t="shared" si="17"/>
        <v>13847.849999999999</v>
      </c>
      <c r="J288" s="38" t="s">
        <v>17</v>
      </c>
      <c r="K288" s="33">
        <f t="shared" ca="1" si="18"/>
        <v>45903</v>
      </c>
      <c r="L288" s="45" t="str">
        <f t="shared" si="19"/>
        <v>East</v>
      </c>
    </row>
    <row r="289" spans="1:12" ht="15" customHeight="1" x14ac:dyDescent="0.35">
      <c r="A289" s="44" t="s">
        <v>614</v>
      </c>
      <c r="B289" s="27" t="s">
        <v>615</v>
      </c>
      <c r="C289" s="27" t="s">
        <v>32</v>
      </c>
      <c r="D289" s="27" t="s">
        <v>15</v>
      </c>
      <c r="E289" s="27" t="s">
        <v>88</v>
      </c>
      <c r="F289" s="28">
        <v>4274</v>
      </c>
      <c r="G289" s="31">
        <f t="shared" si="16"/>
        <v>4</v>
      </c>
      <c r="H289" s="30">
        <v>72</v>
      </c>
      <c r="I289" s="32">
        <f t="shared" si="17"/>
        <v>17096</v>
      </c>
      <c r="J289" s="39" t="s">
        <v>23</v>
      </c>
      <c r="K289" s="33">
        <f t="shared" ca="1" si="18"/>
        <v>45744</v>
      </c>
      <c r="L289" s="45" t="str">
        <f t="shared" si="19"/>
        <v>West</v>
      </c>
    </row>
    <row r="290" spans="1:12" ht="15" customHeight="1" x14ac:dyDescent="0.35">
      <c r="A290" s="43" t="s">
        <v>616</v>
      </c>
      <c r="B290" s="25" t="s">
        <v>617</v>
      </c>
      <c r="C290" s="25" t="s">
        <v>80</v>
      </c>
      <c r="D290" s="25" t="s">
        <v>72</v>
      </c>
      <c r="E290" s="25" t="s">
        <v>88</v>
      </c>
      <c r="F290" s="26">
        <v>2726.41</v>
      </c>
      <c r="G290" s="31">
        <f t="shared" si="16"/>
        <v>1</v>
      </c>
      <c r="H290" s="29">
        <v>29</v>
      </c>
      <c r="I290" s="32">
        <f t="shared" si="17"/>
        <v>2726.41</v>
      </c>
      <c r="J290" s="38" t="s">
        <v>17</v>
      </c>
      <c r="K290" s="33">
        <f t="shared" ca="1" si="18"/>
        <v>45870</v>
      </c>
      <c r="L290" s="45" t="str">
        <f t="shared" si="19"/>
        <v>North</v>
      </c>
    </row>
    <row r="291" spans="1:12" ht="15" customHeight="1" x14ac:dyDescent="0.35">
      <c r="A291" s="44" t="s">
        <v>618</v>
      </c>
      <c r="B291" s="27" t="s">
        <v>619</v>
      </c>
      <c r="C291" s="27" t="s">
        <v>80</v>
      </c>
      <c r="D291" s="27" t="s">
        <v>15</v>
      </c>
      <c r="E291" s="27" t="s">
        <v>22</v>
      </c>
      <c r="F291" s="28">
        <v>382.76</v>
      </c>
      <c r="G291" s="31">
        <f t="shared" si="16"/>
        <v>2</v>
      </c>
      <c r="H291" s="30">
        <v>50</v>
      </c>
      <c r="I291" s="32">
        <f t="shared" si="17"/>
        <v>765.52</v>
      </c>
      <c r="J291" s="38" t="s">
        <v>17</v>
      </c>
      <c r="K291" s="33">
        <f t="shared" ca="1" si="18"/>
        <v>45720</v>
      </c>
      <c r="L291" s="45" t="str">
        <f t="shared" si="19"/>
        <v>South</v>
      </c>
    </row>
    <row r="292" spans="1:12" ht="15" customHeight="1" x14ac:dyDescent="0.35">
      <c r="A292" s="43" t="s">
        <v>620</v>
      </c>
      <c r="B292" s="25" t="s">
        <v>621</v>
      </c>
      <c r="C292" s="25" t="s">
        <v>32</v>
      </c>
      <c r="D292" s="25" t="s">
        <v>27</v>
      </c>
      <c r="E292" s="25" t="s">
        <v>28</v>
      </c>
      <c r="F292" s="26">
        <v>451.31</v>
      </c>
      <c r="G292" s="31">
        <f t="shared" si="16"/>
        <v>3</v>
      </c>
      <c r="H292" s="29">
        <v>56</v>
      </c>
      <c r="I292" s="32">
        <f t="shared" si="17"/>
        <v>1353.93</v>
      </c>
      <c r="J292" s="38" t="s">
        <v>17</v>
      </c>
      <c r="K292" s="33">
        <f t="shared" ca="1" si="18"/>
        <v>45916</v>
      </c>
      <c r="L292" s="45" t="str">
        <f t="shared" si="19"/>
        <v>East</v>
      </c>
    </row>
    <row r="293" spans="1:12" ht="15" customHeight="1" x14ac:dyDescent="0.35">
      <c r="A293" s="44" t="s">
        <v>622</v>
      </c>
      <c r="B293" s="27" t="s">
        <v>623</v>
      </c>
      <c r="C293" s="27" t="s">
        <v>41</v>
      </c>
      <c r="D293" s="27" t="s">
        <v>51</v>
      </c>
      <c r="E293" s="27" t="s">
        <v>43</v>
      </c>
      <c r="F293" s="28">
        <v>4484.13</v>
      </c>
      <c r="G293" s="31">
        <f t="shared" si="16"/>
        <v>4</v>
      </c>
      <c r="H293" s="30">
        <v>47</v>
      </c>
      <c r="I293" s="32">
        <f t="shared" si="17"/>
        <v>17936.52</v>
      </c>
      <c r="J293" s="38" t="s">
        <v>17</v>
      </c>
      <c r="K293" s="33">
        <f t="shared" ca="1" si="18"/>
        <v>45736</v>
      </c>
      <c r="L293" s="45" t="str">
        <f t="shared" si="19"/>
        <v>West</v>
      </c>
    </row>
    <row r="294" spans="1:12" ht="15" customHeight="1" x14ac:dyDescent="0.35">
      <c r="A294" s="43" t="s">
        <v>624</v>
      </c>
      <c r="B294" s="25" t="s">
        <v>625</v>
      </c>
      <c r="C294" s="25" t="s">
        <v>20</v>
      </c>
      <c r="D294" s="25" t="s">
        <v>72</v>
      </c>
      <c r="E294" s="25" t="s">
        <v>93</v>
      </c>
      <c r="F294" s="26">
        <v>4380.38</v>
      </c>
      <c r="G294" s="31">
        <f t="shared" si="16"/>
        <v>1</v>
      </c>
      <c r="H294" s="29">
        <v>15</v>
      </c>
      <c r="I294" s="32">
        <f t="shared" si="17"/>
        <v>4380.38</v>
      </c>
      <c r="J294" s="41" t="s">
        <v>77</v>
      </c>
      <c r="K294" s="33">
        <f t="shared" ca="1" si="18"/>
        <v>45957</v>
      </c>
      <c r="L294" s="45" t="str">
        <f t="shared" si="19"/>
        <v>North</v>
      </c>
    </row>
    <row r="295" spans="1:12" ht="15" customHeight="1" x14ac:dyDescent="0.35">
      <c r="A295" s="44" t="s">
        <v>626</v>
      </c>
      <c r="B295" s="27" t="s">
        <v>627</v>
      </c>
      <c r="C295" s="27" t="s">
        <v>41</v>
      </c>
      <c r="D295" s="27" t="s">
        <v>42</v>
      </c>
      <c r="E295" s="27" t="s">
        <v>88</v>
      </c>
      <c r="F295" s="28">
        <v>2177.64</v>
      </c>
      <c r="G295" s="31">
        <f t="shared" si="16"/>
        <v>2</v>
      </c>
      <c r="H295" s="30">
        <v>75</v>
      </c>
      <c r="I295" s="32">
        <f t="shared" si="17"/>
        <v>4355.28</v>
      </c>
      <c r="J295" s="38" t="s">
        <v>17</v>
      </c>
      <c r="K295" s="33">
        <f t="shared" ca="1" si="18"/>
        <v>45957</v>
      </c>
      <c r="L295" s="45" t="str">
        <f t="shared" si="19"/>
        <v>South</v>
      </c>
    </row>
    <row r="296" spans="1:12" ht="15" customHeight="1" x14ac:dyDescent="0.35">
      <c r="A296" s="43" t="s">
        <v>628</v>
      </c>
      <c r="B296" s="25" t="s">
        <v>629</v>
      </c>
      <c r="C296" s="25" t="s">
        <v>80</v>
      </c>
      <c r="D296" s="25" t="s">
        <v>27</v>
      </c>
      <c r="E296" s="25" t="s">
        <v>43</v>
      </c>
      <c r="F296" s="26">
        <v>1647.49</v>
      </c>
      <c r="G296" s="31">
        <f t="shared" si="16"/>
        <v>3</v>
      </c>
      <c r="H296" s="29">
        <v>53</v>
      </c>
      <c r="I296" s="32">
        <f t="shared" si="17"/>
        <v>4942.47</v>
      </c>
      <c r="J296" s="38" t="s">
        <v>17</v>
      </c>
      <c r="K296" s="33">
        <f t="shared" ca="1" si="18"/>
        <v>45864</v>
      </c>
      <c r="L296" s="45" t="str">
        <f t="shared" si="19"/>
        <v>East</v>
      </c>
    </row>
    <row r="297" spans="1:12" ht="15" customHeight="1" x14ac:dyDescent="0.35">
      <c r="A297" s="44" t="s">
        <v>630</v>
      </c>
      <c r="B297" s="27" t="s">
        <v>631</v>
      </c>
      <c r="C297" s="27" t="s">
        <v>80</v>
      </c>
      <c r="D297" s="27" t="s">
        <v>48</v>
      </c>
      <c r="E297" s="27" t="s">
        <v>28</v>
      </c>
      <c r="F297" s="28">
        <v>3224.18</v>
      </c>
      <c r="G297" s="31">
        <f t="shared" si="16"/>
        <v>4</v>
      </c>
      <c r="H297" s="30">
        <v>28</v>
      </c>
      <c r="I297" s="32">
        <f t="shared" si="17"/>
        <v>12896.72</v>
      </c>
      <c r="J297" s="41" t="s">
        <v>77</v>
      </c>
      <c r="K297" s="33">
        <f t="shared" ca="1" si="18"/>
        <v>45805</v>
      </c>
      <c r="L297" s="45" t="str">
        <f t="shared" si="19"/>
        <v>West</v>
      </c>
    </row>
    <row r="298" spans="1:12" ht="15" customHeight="1" x14ac:dyDescent="0.35">
      <c r="A298" s="43" t="s">
        <v>632</v>
      </c>
      <c r="B298" s="25" t="s">
        <v>633</v>
      </c>
      <c r="C298" s="25" t="s">
        <v>32</v>
      </c>
      <c r="D298" s="25" t="s">
        <v>72</v>
      </c>
      <c r="E298" s="25" t="s">
        <v>88</v>
      </c>
      <c r="F298" s="26">
        <v>4036.87</v>
      </c>
      <c r="G298" s="31">
        <f t="shared" si="16"/>
        <v>1</v>
      </c>
      <c r="H298" s="29">
        <v>39</v>
      </c>
      <c r="I298" s="32">
        <f t="shared" si="17"/>
        <v>4036.87</v>
      </c>
      <c r="J298" s="38" t="s">
        <v>17</v>
      </c>
      <c r="K298" s="33">
        <f t="shared" ca="1" si="18"/>
        <v>45965</v>
      </c>
      <c r="L298" s="45" t="str">
        <f t="shared" si="19"/>
        <v>North</v>
      </c>
    </row>
    <row r="299" spans="1:12" ht="15" customHeight="1" x14ac:dyDescent="0.35">
      <c r="A299" s="44" t="s">
        <v>634</v>
      </c>
      <c r="B299" s="27" t="s">
        <v>635</v>
      </c>
      <c r="C299" s="27" t="s">
        <v>62</v>
      </c>
      <c r="D299" s="27" t="s">
        <v>27</v>
      </c>
      <c r="E299" s="27" t="s">
        <v>16</v>
      </c>
      <c r="F299" s="28">
        <v>3661.11</v>
      </c>
      <c r="G299" s="31">
        <f t="shared" si="16"/>
        <v>2</v>
      </c>
      <c r="H299" s="30">
        <v>98</v>
      </c>
      <c r="I299" s="32">
        <f t="shared" si="17"/>
        <v>7322.22</v>
      </c>
      <c r="J299" s="41" t="s">
        <v>77</v>
      </c>
      <c r="K299" s="33">
        <f t="shared" ca="1" si="18"/>
        <v>45802</v>
      </c>
      <c r="L299" s="45" t="str">
        <f t="shared" si="19"/>
        <v>South</v>
      </c>
    </row>
    <row r="300" spans="1:12" ht="15" customHeight="1" x14ac:dyDescent="0.35">
      <c r="A300" s="43" t="s">
        <v>636</v>
      </c>
      <c r="B300" s="25" t="s">
        <v>637</v>
      </c>
      <c r="C300" s="25" t="s">
        <v>41</v>
      </c>
      <c r="D300" s="25" t="s">
        <v>48</v>
      </c>
      <c r="E300" s="25" t="s">
        <v>16</v>
      </c>
      <c r="F300" s="26">
        <v>3081.86</v>
      </c>
      <c r="G300" s="31">
        <f t="shared" si="16"/>
        <v>3</v>
      </c>
      <c r="H300" s="29">
        <v>43</v>
      </c>
      <c r="I300" s="32">
        <f t="shared" si="17"/>
        <v>9245.58</v>
      </c>
      <c r="J300" s="38" t="s">
        <v>17</v>
      </c>
      <c r="K300" s="33">
        <f t="shared" ca="1" si="18"/>
        <v>45661</v>
      </c>
      <c r="L300" s="45" t="str">
        <f t="shared" si="19"/>
        <v>East</v>
      </c>
    </row>
    <row r="301" spans="1:12" ht="15" customHeight="1" x14ac:dyDescent="0.35">
      <c r="A301" s="44" t="s">
        <v>638</v>
      </c>
      <c r="B301" s="27" t="s">
        <v>639</v>
      </c>
      <c r="C301" s="27" t="s">
        <v>87</v>
      </c>
      <c r="D301" s="27" t="s">
        <v>21</v>
      </c>
      <c r="E301" s="27" t="s">
        <v>16</v>
      </c>
      <c r="F301" s="28">
        <v>1165.24</v>
      </c>
      <c r="G301" s="31">
        <f t="shared" si="16"/>
        <v>4</v>
      </c>
      <c r="H301" s="30">
        <v>63</v>
      </c>
      <c r="I301" s="32">
        <f t="shared" si="17"/>
        <v>4660.96</v>
      </c>
      <c r="J301" s="40" t="s">
        <v>29</v>
      </c>
      <c r="K301" s="33">
        <f t="shared" ca="1" si="18"/>
        <v>45902</v>
      </c>
      <c r="L301" s="45" t="str">
        <f t="shared" si="19"/>
        <v>West</v>
      </c>
    </row>
    <row r="302" spans="1:12" ht="15" customHeight="1" x14ac:dyDescent="0.35">
      <c r="A302" s="49" t="s">
        <v>640</v>
      </c>
      <c r="B302" s="50" t="s">
        <v>641</v>
      </c>
      <c r="C302" s="50" t="s">
        <v>32</v>
      </c>
      <c r="D302" s="50" t="s">
        <v>72</v>
      </c>
      <c r="E302" s="50" t="s">
        <v>16</v>
      </c>
      <c r="F302" s="51">
        <v>1319.9</v>
      </c>
      <c r="G302" s="52">
        <f t="shared" si="16"/>
        <v>1</v>
      </c>
      <c r="H302" s="53">
        <v>38</v>
      </c>
      <c r="I302" s="54">
        <f t="shared" si="17"/>
        <v>1319.9</v>
      </c>
      <c r="J302" s="55" t="s">
        <v>17</v>
      </c>
      <c r="K302" s="56">
        <f t="shared" ca="1" si="18"/>
        <v>45829</v>
      </c>
      <c r="L302" s="57" t="str">
        <f t="shared" si="19"/>
        <v>North</v>
      </c>
    </row>
    <row r="303" spans="1:12" ht="15" customHeight="1" x14ac:dyDescent="0.35">
      <c r="G303"/>
      <c r="H303"/>
      <c r="I303"/>
      <c r="K303"/>
    </row>
    <row r="304" spans="1:12" ht="15" customHeight="1" x14ac:dyDescent="0.35">
      <c r="G304"/>
      <c r="H304"/>
      <c r="I304"/>
      <c r="K304"/>
    </row>
    <row r="305" spans="7:11" ht="15" customHeight="1" x14ac:dyDescent="0.35">
      <c r="G305"/>
      <c r="H305"/>
      <c r="I305"/>
      <c r="K305"/>
    </row>
    <row r="306" spans="7:11" ht="15" customHeight="1" x14ac:dyDescent="0.35">
      <c r="G306"/>
      <c r="H306"/>
      <c r="I306"/>
      <c r="K306"/>
    </row>
    <row r="307" spans="7:11" ht="15" customHeight="1" x14ac:dyDescent="0.35">
      <c r="G307"/>
      <c r="H307"/>
      <c r="I307"/>
      <c r="K307"/>
    </row>
    <row r="308" spans="7:11" ht="15" customHeight="1" x14ac:dyDescent="0.35">
      <c r="G308"/>
      <c r="H308"/>
      <c r="I308"/>
      <c r="K308"/>
    </row>
    <row r="309" spans="7:11" ht="15" customHeight="1" x14ac:dyDescent="0.35">
      <c r="G309"/>
      <c r="H309"/>
      <c r="I309"/>
      <c r="K309"/>
    </row>
    <row r="310" spans="7:11" ht="15" customHeight="1" x14ac:dyDescent="0.35">
      <c r="G310"/>
      <c r="H310"/>
      <c r="I310"/>
      <c r="K310"/>
    </row>
    <row r="311" spans="7:11" ht="15" customHeight="1" x14ac:dyDescent="0.35">
      <c r="G311"/>
      <c r="H311"/>
      <c r="I311"/>
      <c r="K311"/>
    </row>
    <row r="312" spans="7:11" ht="15" customHeight="1" x14ac:dyDescent="0.35">
      <c r="G312"/>
      <c r="H312"/>
      <c r="I312"/>
      <c r="K312"/>
    </row>
    <row r="313" spans="7:11" ht="15" customHeight="1" x14ac:dyDescent="0.35">
      <c r="G313"/>
      <c r="H313"/>
      <c r="I313"/>
      <c r="K313"/>
    </row>
    <row r="314" spans="7:11" ht="15" customHeight="1" x14ac:dyDescent="0.35">
      <c r="G314"/>
      <c r="H314"/>
      <c r="I314"/>
      <c r="K314"/>
    </row>
    <row r="315" spans="7:11" ht="15" customHeight="1" x14ac:dyDescent="0.35">
      <c r="G315"/>
      <c r="H315"/>
      <c r="I315"/>
      <c r="K315"/>
    </row>
    <row r="316" spans="7:11" ht="15" customHeight="1" x14ac:dyDescent="0.35">
      <c r="G316"/>
      <c r="H316"/>
      <c r="I316"/>
      <c r="K316"/>
    </row>
    <row r="317" spans="7:11" ht="15" customHeight="1" x14ac:dyDescent="0.35">
      <c r="G317"/>
      <c r="H317"/>
      <c r="I317"/>
      <c r="K317"/>
    </row>
    <row r="318" spans="7:11" ht="15" customHeight="1" x14ac:dyDescent="0.35">
      <c r="G318"/>
      <c r="H318"/>
      <c r="I318"/>
      <c r="K318"/>
    </row>
    <row r="319" spans="7:11" ht="15" customHeight="1" x14ac:dyDescent="0.35">
      <c r="G319"/>
      <c r="H319"/>
      <c r="I319"/>
      <c r="K319"/>
    </row>
    <row r="320" spans="7:11" ht="15" customHeight="1" x14ac:dyDescent="0.35">
      <c r="G320"/>
      <c r="H320"/>
      <c r="I320"/>
      <c r="K320"/>
    </row>
    <row r="321" spans="7:11" ht="15" customHeight="1" x14ac:dyDescent="0.35">
      <c r="G321"/>
      <c r="H321"/>
      <c r="I321"/>
      <c r="K321"/>
    </row>
    <row r="322" spans="7:11" ht="15" customHeight="1" x14ac:dyDescent="0.35">
      <c r="G322"/>
      <c r="H322"/>
      <c r="I322"/>
      <c r="K322"/>
    </row>
    <row r="323" spans="7:11" ht="15" customHeight="1" x14ac:dyDescent="0.35">
      <c r="G323"/>
      <c r="H323"/>
      <c r="I323"/>
      <c r="K323"/>
    </row>
    <row r="324" spans="7:11" ht="15" customHeight="1" x14ac:dyDescent="0.35">
      <c r="G324"/>
      <c r="H324"/>
      <c r="I324"/>
      <c r="K324"/>
    </row>
    <row r="325" spans="7:11" ht="15" customHeight="1" x14ac:dyDescent="0.35">
      <c r="G325"/>
      <c r="H325"/>
      <c r="I325"/>
      <c r="K325"/>
    </row>
    <row r="326" spans="7:11" ht="15" customHeight="1" x14ac:dyDescent="0.35">
      <c r="G326"/>
      <c r="H326"/>
      <c r="I326"/>
      <c r="K326"/>
    </row>
    <row r="327" spans="7:11" ht="15" customHeight="1" x14ac:dyDescent="0.35">
      <c r="G327"/>
      <c r="H327"/>
      <c r="I327"/>
      <c r="K327"/>
    </row>
    <row r="328" spans="7:11" ht="15" customHeight="1" x14ac:dyDescent="0.35">
      <c r="G328"/>
      <c r="H328"/>
      <c r="I328"/>
      <c r="K328"/>
    </row>
    <row r="329" spans="7:11" ht="15" customHeight="1" x14ac:dyDescent="0.35">
      <c r="G329"/>
      <c r="H329"/>
      <c r="I329"/>
      <c r="K329"/>
    </row>
    <row r="330" spans="7:11" ht="15" customHeight="1" x14ac:dyDescent="0.35">
      <c r="G330"/>
      <c r="H330"/>
      <c r="I330"/>
      <c r="K330"/>
    </row>
    <row r="331" spans="7:11" ht="15" customHeight="1" x14ac:dyDescent="0.35">
      <c r="G331"/>
      <c r="H331"/>
      <c r="I331"/>
      <c r="K331"/>
    </row>
    <row r="332" spans="7:11" ht="15" customHeight="1" x14ac:dyDescent="0.35">
      <c r="G332"/>
      <c r="H332"/>
      <c r="I332"/>
      <c r="K332"/>
    </row>
    <row r="333" spans="7:11" ht="15" customHeight="1" x14ac:dyDescent="0.35">
      <c r="G333"/>
      <c r="H333"/>
      <c r="I333"/>
      <c r="K333"/>
    </row>
    <row r="334" spans="7:11" ht="15" customHeight="1" x14ac:dyDescent="0.35">
      <c r="G334"/>
      <c r="H334"/>
      <c r="I334"/>
      <c r="K334"/>
    </row>
    <row r="335" spans="7:11" ht="15" customHeight="1" x14ac:dyDescent="0.35">
      <c r="G335"/>
      <c r="H335"/>
      <c r="I335"/>
      <c r="K335"/>
    </row>
    <row r="336" spans="7:11" ht="15" customHeight="1" x14ac:dyDescent="0.35">
      <c r="G336"/>
      <c r="H336"/>
      <c r="I336"/>
      <c r="K336"/>
    </row>
    <row r="337" spans="7:11" ht="15" customHeight="1" x14ac:dyDescent="0.35">
      <c r="G337"/>
      <c r="H337"/>
      <c r="I337"/>
      <c r="K337"/>
    </row>
    <row r="338" spans="7:11" ht="15" customHeight="1" x14ac:dyDescent="0.35">
      <c r="G338"/>
      <c r="H338"/>
      <c r="I338"/>
      <c r="K338"/>
    </row>
    <row r="339" spans="7:11" ht="15" customHeight="1" x14ac:dyDescent="0.35">
      <c r="G339"/>
      <c r="H339"/>
      <c r="I339"/>
      <c r="K339"/>
    </row>
    <row r="340" spans="7:11" ht="15" customHeight="1" x14ac:dyDescent="0.35">
      <c r="G340"/>
      <c r="H340"/>
      <c r="I340"/>
      <c r="K340"/>
    </row>
    <row r="341" spans="7:11" ht="15" customHeight="1" x14ac:dyDescent="0.35">
      <c r="G341"/>
      <c r="H341"/>
      <c r="I341"/>
      <c r="K341"/>
    </row>
    <row r="342" spans="7:11" ht="15" customHeight="1" x14ac:dyDescent="0.35">
      <c r="G342"/>
      <c r="H342"/>
      <c r="I342"/>
      <c r="K342"/>
    </row>
    <row r="343" spans="7:11" ht="15" customHeight="1" x14ac:dyDescent="0.35">
      <c r="G343"/>
      <c r="H343"/>
      <c r="I343"/>
      <c r="K343"/>
    </row>
    <row r="344" spans="7:11" ht="15" customHeight="1" x14ac:dyDescent="0.35">
      <c r="G344"/>
      <c r="H344"/>
      <c r="I344"/>
      <c r="K344"/>
    </row>
    <row r="345" spans="7:11" ht="15" customHeight="1" x14ac:dyDescent="0.35">
      <c r="G345"/>
      <c r="H345"/>
      <c r="I345"/>
      <c r="K345"/>
    </row>
    <row r="346" spans="7:11" ht="15" customHeight="1" x14ac:dyDescent="0.35">
      <c r="G346"/>
      <c r="H346"/>
      <c r="I346"/>
      <c r="K346"/>
    </row>
    <row r="347" spans="7:11" ht="15" customHeight="1" x14ac:dyDescent="0.35">
      <c r="G347"/>
      <c r="H347"/>
      <c r="I347"/>
      <c r="K347"/>
    </row>
    <row r="348" spans="7:11" ht="15" customHeight="1" x14ac:dyDescent="0.35">
      <c r="G348"/>
      <c r="H348"/>
      <c r="I348"/>
      <c r="K348"/>
    </row>
    <row r="349" spans="7:11" ht="15" customHeight="1" x14ac:dyDescent="0.35">
      <c r="G349"/>
      <c r="H349"/>
      <c r="I349"/>
      <c r="K349"/>
    </row>
    <row r="350" spans="7:11" ht="15" customHeight="1" x14ac:dyDescent="0.35">
      <c r="G350"/>
      <c r="H350"/>
      <c r="I350"/>
      <c r="K350"/>
    </row>
    <row r="351" spans="7:11" ht="15" customHeight="1" x14ac:dyDescent="0.35">
      <c r="G351"/>
      <c r="H351"/>
      <c r="I351"/>
      <c r="K351"/>
    </row>
    <row r="352" spans="7:11" ht="15" customHeight="1" x14ac:dyDescent="0.35">
      <c r="G352"/>
      <c r="H352"/>
      <c r="I352"/>
      <c r="K352"/>
    </row>
    <row r="353" spans="7:11" ht="15" customHeight="1" x14ac:dyDescent="0.35">
      <c r="G353"/>
      <c r="H353"/>
      <c r="I353"/>
      <c r="K353"/>
    </row>
    <row r="354" spans="7:11" ht="15" customHeight="1" x14ac:dyDescent="0.35">
      <c r="G354"/>
      <c r="H354"/>
      <c r="I354"/>
      <c r="K354"/>
    </row>
    <row r="355" spans="7:11" ht="15" customHeight="1" x14ac:dyDescent="0.35">
      <c r="G355"/>
      <c r="H355"/>
      <c r="I355"/>
      <c r="K355"/>
    </row>
    <row r="356" spans="7:11" ht="15" customHeight="1" x14ac:dyDescent="0.35">
      <c r="G356"/>
      <c r="H356"/>
      <c r="I356"/>
      <c r="K356"/>
    </row>
    <row r="357" spans="7:11" ht="15" customHeight="1" x14ac:dyDescent="0.35">
      <c r="G357"/>
      <c r="H357"/>
      <c r="I357"/>
      <c r="K357"/>
    </row>
    <row r="358" spans="7:11" ht="15" customHeight="1" x14ac:dyDescent="0.35">
      <c r="G358"/>
      <c r="H358"/>
      <c r="I358"/>
      <c r="K358"/>
    </row>
    <row r="359" spans="7:11" ht="15" customHeight="1" x14ac:dyDescent="0.35">
      <c r="G359"/>
      <c r="H359"/>
      <c r="I359"/>
      <c r="K359"/>
    </row>
    <row r="360" spans="7:11" ht="15" customHeight="1" x14ac:dyDescent="0.35">
      <c r="G360"/>
      <c r="H360"/>
      <c r="I360"/>
      <c r="K360"/>
    </row>
    <row r="361" spans="7:11" ht="15" customHeight="1" x14ac:dyDescent="0.35">
      <c r="G361"/>
      <c r="H361"/>
      <c r="I361"/>
      <c r="K361"/>
    </row>
    <row r="362" spans="7:11" ht="15" customHeight="1" x14ac:dyDescent="0.35">
      <c r="G362"/>
      <c r="H362"/>
      <c r="I362"/>
      <c r="K362"/>
    </row>
    <row r="363" spans="7:11" ht="15" customHeight="1" x14ac:dyDescent="0.35">
      <c r="G363"/>
      <c r="H363"/>
      <c r="I363"/>
      <c r="K363"/>
    </row>
    <row r="364" spans="7:11" ht="15" customHeight="1" x14ac:dyDescent="0.35">
      <c r="G364"/>
      <c r="H364"/>
      <c r="I364"/>
      <c r="K364"/>
    </row>
    <row r="365" spans="7:11" ht="15" customHeight="1" x14ac:dyDescent="0.35">
      <c r="G365"/>
      <c r="H365"/>
      <c r="I365"/>
      <c r="K365"/>
    </row>
    <row r="366" spans="7:11" ht="15" customHeight="1" x14ac:dyDescent="0.35">
      <c r="G366"/>
      <c r="H366"/>
      <c r="I366"/>
      <c r="K366"/>
    </row>
    <row r="367" spans="7:11" ht="15" customHeight="1" x14ac:dyDescent="0.35">
      <c r="G367"/>
      <c r="H367"/>
      <c r="I367"/>
      <c r="K367"/>
    </row>
    <row r="368" spans="7:11" ht="15" customHeight="1" x14ac:dyDescent="0.35">
      <c r="G368"/>
      <c r="H368"/>
      <c r="I368"/>
      <c r="K368"/>
    </row>
    <row r="369" spans="7:11" ht="15" customHeight="1" x14ac:dyDescent="0.35">
      <c r="G369"/>
      <c r="H369"/>
      <c r="I369"/>
      <c r="K369"/>
    </row>
    <row r="370" spans="7:11" ht="15" customHeight="1" x14ac:dyDescent="0.35">
      <c r="G370"/>
      <c r="H370"/>
      <c r="I370"/>
      <c r="K370"/>
    </row>
    <row r="371" spans="7:11" ht="15" customHeight="1" x14ac:dyDescent="0.35">
      <c r="G371"/>
      <c r="H371"/>
      <c r="I371"/>
      <c r="K371"/>
    </row>
    <row r="372" spans="7:11" ht="15" customHeight="1" x14ac:dyDescent="0.35">
      <c r="G372"/>
      <c r="H372"/>
      <c r="I372"/>
      <c r="K372"/>
    </row>
    <row r="373" spans="7:11" ht="15" customHeight="1" x14ac:dyDescent="0.35">
      <c r="G373"/>
      <c r="H373"/>
      <c r="I373"/>
      <c r="K373"/>
    </row>
    <row r="374" spans="7:11" ht="15" customHeight="1" x14ac:dyDescent="0.35">
      <c r="G374"/>
      <c r="H374"/>
      <c r="I374"/>
      <c r="K374"/>
    </row>
    <row r="375" spans="7:11" ht="15" customHeight="1" x14ac:dyDescent="0.35">
      <c r="G375"/>
      <c r="H375"/>
      <c r="I375"/>
      <c r="K375"/>
    </row>
    <row r="376" spans="7:11" ht="15" customHeight="1" x14ac:dyDescent="0.35">
      <c r="G376"/>
      <c r="H376"/>
      <c r="I376"/>
      <c r="K376"/>
    </row>
    <row r="377" spans="7:11" ht="15" customHeight="1" x14ac:dyDescent="0.35">
      <c r="G377"/>
      <c r="H377"/>
      <c r="I377"/>
      <c r="K377"/>
    </row>
    <row r="378" spans="7:11" ht="15" customHeight="1" x14ac:dyDescent="0.35">
      <c r="G378"/>
      <c r="H378"/>
      <c r="I378"/>
      <c r="K378"/>
    </row>
    <row r="379" spans="7:11" ht="15" customHeight="1" x14ac:dyDescent="0.35">
      <c r="G379"/>
      <c r="H379"/>
      <c r="I379"/>
      <c r="K379"/>
    </row>
    <row r="380" spans="7:11" ht="15" customHeight="1" x14ac:dyDescent="0.35">
      <c r="G380"/>
      <c r="H380"/>
      <c r="I380"/>
      <c r="K380"/>
    </row>
    <row r="381" spans="7:11" ht="15" customHeight="1" x14ac:dyDescent="0.35">
      <c r="G381"/>
      <c r="H381"/>
      <c r="I381"/>
      <c r="K381"/>
    </row>
    <row r="382" spans="7:11" ht="15" customHeight="1" x14ac:dyDescent="0.35">
      <c r="G382"/>
      <c r="H382"/>
      <c r="I382"/>
      <c r="K382"/>
    </row>
    <row r="383" spans="7:11" ht="15" customHeight="1" x14ac:dyDescent="0.35">
      <c r="G383"/>
      <c r="H383"/>
      <c r="I383"/>
      <c r="K383"/>
    </row>
    <row r="384" spans="7:11" ht="15" customHeight="1" x14ac:dyDescent="0.35">
      <c r="G384"/>
      <c r="H384"/>
      <c r="I384"/>
      <c r="K384"/>
    </row>
    <row r="385" spans="7:11" ht="15" customHeight="1" x14ac:dyDescent="0.35">
      <c r="G385"/>
      <c r="H385"/>
      <c r="I385"/>
      <c r="K385"/>
    </row>
    <row r="386" spans="7:11" ht="15" customHeight="1" x14ac:dyDescent="0.35">
      <c r="G386"/>
      <c r="H386"/>
      <c r="I386"/>
      <c r="K386"/>
    </row>
    <row r="387" spans="7:11" ht="15" customHeight="1" x14ac:dyDescent="0.35">
      <c r="G387"/>
      <c r="H387"/>
      <c r="I387"/>
      <c r="K387"/>
    </row>
    <row r="388" spans="7:11" ht="15" customHeight="1" x14ac:dyDescent="0.35">
      <c r="G388"/>
      <c r="H388"/>
      <c r="I388"/>
      <c r="K388"/>
    </row>
    <row r="389" spans="7:11" ht="15" customHeight="1" x14ac:dyDescent="0.35">
      <c r="G389"/>
      <c r="H389"/>
      <c r="I389"/>
      <c r="K389"/>
    </row>
    <row r="390" spans="7:11" ht="15" customHeight="1" x14ac:dyDescent="0.35">
      <c r="G390"/>
      <c r="H390"/>
      <c r="I390"/>
      <c r="K390"/>
    </row>
    <row r="391" spans="7:11" ht="15" customHeight="1" x14ac:dyDescent="0.35">
      <c r="G391"/>
      <c r="H391"/>
      <c r="I391"/>
      <c r="K391"/>
    </row>
    <row r="392" spans="7:11" ht="15" customHeight="1" x14ac:dyDescent="0.35">
      <c r="G392"/>
      <c r="H392"/>
      <c r="I392"/>
      <c r="K392"/>
    </row>
    <row r="393" spans="7:11" ht="15" customHeight="1" x14ac:dyDescent="0.35">
      <c r="G393"/>
      <c r="H393"/>
      <c r="I393"/>
      <c r="K393"/>
    </row>
    <row r="394" spans="7:11" ht="15" customHeight="1" x14ac:dyDescent="0.35">
      <c r="G394"/>
      <c r="H394"/>
      <c r="I394"/>
      <c r="K394"/>
    </row>
    <row r="395" spans="7:11" ht="15" customHeight="1" x14ac:dyDescent="0.35">
      <c r="G395"/>
      <c r="H395"/>
      <c r="I395"/>
      <c r="K395"/>
    </row>
    <row r="396" spans="7:11" ht="15" customHeight="1" x14ac:dyDescent="0.35">
      <c r="G396"/>
      <c r="H396"/>
      <c r="I396"/>
      <c r="K396"/>
    </row>
    <row r="397" spans="7:11" ht="15" customHeight="1" x14ac:dyDescent="0.35">
      <c r="G397"/>
      <c r="H397"/>
      <c r="I397"/>
      <c r="K397"/>
    </row>
    <row r="398" spans="7:11" ht="15" customHeight="1" x14ac:dyDescent="0.35">
      <c r="G398"/>
      <c r="H398"/>
      <c r="I398"/>
      <c r="K398"/>
    </row>
    <row r="399" spans="7:11" ht="15" customHeight="1" x14ac:dyDescent="0.35">
      <c r="G399"/>
      <c r="H399"/>
      <c r="I399"/>
      <c r="K399"/>
    </row>
    <row r="400" spans="7:11" ht="15" customHeight="1" x14ac:dyDescent="0.35">
      <c r="G400"/>
      <c r="H400"/>
      <c r="I400"/>
      <c r="K400"/>
    </row>
    <row r="401" spans="7:11" ht="15" customHeight="1" x14ac:dyDescent="0.35">
      <c r="G401"/>
      <c r="H401"/>
      <c r="I401"/>
      <c r="K401"/>
    </row>
    <row r="402" spans="7:11" ht="15" customHeight="1" x14ac:dyDescent="0.35">
      <c r="G402"/>
      <c r="H402"/>
      <c r="I402"/>
      <c r="K402"/>
    </row>
    <row r="403" spans="7:11" ht="15" customHeight="1" x14ac:dyDescent="0.35">
      <c r="G403"/>
      <c r="H403"/>
      <c r="I403"/>
      <c r="K403"/>
    </row>
    <row r="404" spans="7:11" ht="15" customHeight="1" x14ac:dyDescent="0.35">
      <c r="G404"/>
      <c r="H404"/>
      <c r="I404"/>
      <c r="K404"/>
    </row>
    <row r="405" spans="7:11" ht="15" customHeight="1" x14ac:dyDescent="0.35">
      <c r="G405"/>
      <c r="H405"/>
      <c r="I405"/>
      <c r="K405"/>
    </row>
    <row r="406" spans="7:11" ht="15" customHeight="1" x14ac:dyDescent="0.35">
      <c r="G406"/>
      <c r="H406"/>
      <c r="I406"/>
      <c r="K406"/>
    </row>
    <row r="407" spans="7:11" ht="15" customHeight="1" x14ac:dyDescent="0.35">
      <c r="G407"/>
      <c r="H407"/>
      <c r="I407"/>
      <c r="K407"/>
    </row>
    <row r="408" spans="7:11" ht="15" customHeight="1" x14ac:dyDescent="0.35">
      <c r="G408"/>
      <c r="H408"/>
      <c r="I408"/>
      <c r="K408"/>
    </row>
    <row r="409" spans="7:11" ht="15" customHeight="1" x14ac:dyDescent="0.35">
      <c r="G409"/>
      <c r="H409"/>
      <c r="I409"/>
      <c r="K409"/>
    </row>
    <row r="410" spans="7:11" ht="15" customHeight="1" x14ac:dyDescent="0.35">
      <c r="G410"/>
      <c r="H410"/>
      <c r="I410"/>
      <c r="K410"/>
    </row>
    <row r="411" spans="7:11" ht="15" customHeight="1" x14ac:dyDescent="0.35">
      <c r="G411"/>
      <c r="H411"/>
      <c r="I411"/>
      <c r="K411"/>
    </row>
    <row r="412" spans="7:11" ht="15" customHeight="1" x14ac:dyDescent="0.35">
      <c r="G412"/>
      <c r="H412"/>
      <c r="I412"/>
      <c r="K412"/>
    </row>
    <row r="413" spans="7:11" ht="15" customHeight="1" x14ac:dyDescent="0.35">
      <c r="G413"/>
      <c r="H413"/>
      <c r="I413"/>
      <c r="K413"/>
    </row>
    <row r="414" spans="7:11" ht="15" customHeight="1" x14ac:dyDescent="0.35">
      <c r="G414"/>
      <c r="H414"/>
      <c r="I414"/>
      <c r="K414"/>
    </row>
    <row r="415" spans="7:11" ht="15" customHeight="1" x14ac:dyDescent="0.35">
      <c r="G415"/>
      <c r="H415"/>
      <c r="I415"/>
      <c r="K415"/>
    </row>
    <row r="416" spans="7:11" ht="15" customHeight="1" x14ac:dyDescent="0.35">
      <c r="G416"/>
      <c r="H416"/>
      <c r="I416"/>
      <c r="K416"/>
    </row>
    <row r="417" spans="7:11" ht="15" customHeight="1" x14ac:dyDescent="0.35">
      <c r="G417"/>
      <c r="H417"/>
      <c r="I417"/>
      <c r="K417"/>
    </row>
    <row r="418" spans="7:11" ht="15" customHeight="1" x14ac:dyDescent="0.35">
      <c r="G418"/>
      <c r="H418"/>
      <c r="I418"/>
      <c r="K418"/>
    </row>
    <row r="419" spans="7:11" ht="15" customHeight="1" x14ac:dyDescent="0.35">
      <c r="G419"/>
      <c r="H419"/>
      <c r="I419"/>
      <c r="K419"/>
    </row>
    <row r="420" spans="7:11" ht="15" customHeight="1" x14ac:dyDescent="0.35">
      <c r="G420"/>
      <c r="H420"/>
      <c r="I420"/>
      <c r="K420"/>
    </row>
    <row r="421" spans="7:11" ht="15" customHeight="1" x14ac:dyDescent="0.35">
      <c r="G421"/>
      <c r="H421"/>
      <c r="I421"/>
      <c r="K421"/>
    </row>
    <row r="422" spans="7:11" ht="15" customHeight="1" x14ac:dyDescent="0.35">
      <c r="G422"/>
      <c r="H422"/>
      <c r="I422"/>
      <c r="K422"/>
    </row>
    <row r="423" spans="7:11" ht="15" customHeight="1" x14ac:dyDescent="0.35">
      <c r="G423"/>
      <c r="H423"/>
      <c r="I423"/>
      <c r="K423"/>
    </row>
    <row r="424" spans="7:11" ht="15" customHeight="1" x14ac:dyDescent="0.35">
      <c r="G424"/>
      <c r="H424"/>
      <c r="I424"/>
      <c r="K424"/>
    </row>
    <row r="425" spans="7:11" ht="15" customHeight="1" x14ac:dyDescent="0.35">
      <c r="G425"/>
      <c r="H425"/>
      <c r="I425"/>
      <c r="K425"/>
    </row>
    <row r="426" spans="7:11" ht="15" customHeight="1" x14ac:dyDescent="0.35">
      <c r="G426"/>
      <c r="H426"/>
      <c r="I426"/>
      <c r="K426"/>
    </row>
    <row r="427" spans="7:11" ht="15" customHeight="1" x14ac:dyDescent="0.35">
      <c r="G427"/>
      <c r="H427"/>
      <c r="I427"/>
      <c r="K427"/>
    </row>
    <row r="428" spans="7:11" ht="15" customHeight="1" x14ac:dyDescent="0.35">
      <c r="G428"/>
      <c r="H428"/>
      <c r="I428"/>
      <c r="K428"/>
    </row>
    <row r="429" spans="7:11" ht="15" customHeight="1" x14ac:dyDescent="0.35">
      <c r="G429"/>
      <c r="H429"/>
      <c r="I429"/>
      <c r="K429"/>
    </row>
    <row r="430" spans="7:11" ht="15" customHeight="1" x14ac:dyDescent="0.35">
      <c r="G430"/>
      <c r="H430"/>
      <c r="I430"/>
      <c r="K430"/>
    </row>
    <row r="431" spans="7:11" ht="15" customHeight="1" x14ac:dyDescent="0.35">
      <c r="G431"/>
      <c r="H431"/>
      <c r="I431"/>
      <c r="K431"/>
    </row>
    <row r="432" spans="7:11" ht="15" customHeight="1" x14ac:dyDescent="0.35">
      <c r="G432"/>
      <c r="H432"/>
      <c r="I432"/>
      <c r="K432"/>
    </row>
    <row r="433" spans="7:11" ht="15" customHeight="1" x14ac:dyDescent="0.35">
      <c r="G433"/>
      <c r="H433"/>
      <c r="I433"/>
      <c r="K433"/>
    </row>
    <row r="434" spans="7:11" ht="15" customHeight="1" x14ac:dyDescent="0.35">
      <c r="G434"/>
      <c r="H434"/>
      <c r="I434"/>
      <c r="K434"/>
    </row>
    <row r="435" spans="7:11" ht="15" customHeight="1" x14ac:dyDescent="0.35">
      <c r="G435"/>
      <c r="H435"/>
      <c r="I435"/>
      <c r="K435"/>
    </row>
    <row r="436" spans="7:11" ht="15" customHeight="1" x14ac:dyDescent="0.35">
      <c r="G436"/>
      <c r="H436"/>
      <c r="I436"/>
      <c r="K436"/>
    </row>
    <row r="437" spans="7:11" ht="15" customHeight="1" x14ac:dyDescent="0.35">
      <c r="G437"/>
      <c r="H437"/>
      <c r="I437"/>
      <c r="K437"/>
    </row>
    <row r="438" spans="7:11" ht="15" customHeight="1" x14ac:dyDescent="0.35">
      <c r="G438"/>
      <c r="H438"/>
      <c r="I438"/>
      <c r="K438"/>
    </row>
    <row r="439" spans="7:11" ht="15" customHeight="1" x14ac:dyDescent="0.35">
      <c r="G439"/>
      <c r="H439"/>
      <c r="I439"/>
      <c r="K439"/>
    </row>
    <row r="440" spans="7:11" ht="15" customHeight="1" x14ac:dyDescent="0.35">
      <c r="G440"/>
      <c r="H440"/>
      <c r="I440"/>
      <c r="K440"/>
    </row>
    <row r="441" spans="7:11" ht="15" customHeight="1" x14ac:dyDescent="0.35">
      <c r="G441"/>
      <c r="H441"/>
      <c r="I441"/>
      <c r="K441"/>
    </row>
    <row r="442" spans="7:11" ht="15" customHeight="1" x14ac:dyDescent="0.35">
      <c r="G442"/>
      <c r="H442"/>
      <c r="I442"/>
      <c r="K442"/>
    </row>
    <row r="443" spans="7:11" ht="15" customHeight="1" x14ac:dyDescent="0.35">
      <c r="G443"/>
      <c r="H443"/>
      <c r="I443"/>
      <c r="K443"/>
    </row>
    <row r="444" spans="7:11" ht="15" customHeight="1" x14ac:dyDescent="0.35">
      <c r="G444"/>
      <c r="H444"/>
      <c r="I444"/>
      <c r="K444"/>
    </row>
    <row r="445" spans="7:11" ht="15" customHeight="1" x14ac:dyDescent="0.35">
      <c r="G445"/>
      <c r="H445"/>
      <c r="I445"/>
      <c r="K445"/>
    </row>
    <row r="446" spans="7:11" ht="15" customHeight="1" x14ac:dyDescent="0.35">
      <c r="G446"/>
      <c r="H446"/>
      <c r="I446"/>
      <c r="K446"/>
    </row>
    <row r="447" spans="7:11" ht="15" customHeight="1" x14ac:dyDescent="0.35">
      <c r="G447"/>
      <c r="H447"/>
      <c r="I447"/>
      <c r="K447"/>
    </row>
    <row r="448" spans="7:11" ht="15" customHeight="1" x14ac:dyDescent="0.35">
      <c r="G448"/>
      <c r="H448"/>
      <c r="I448"/>
      <c r="K448"/>
    </row>
    <row r="449" spans="7:11" ht="15" customHeight="1" x14ac:dyDescent="0.35">
      <c r="G449"/>
      <c r="H449"/>
      <c r="I449"/>
      <c r="K449"/>
    </row>
    <row r="450" spans="7:11" ht="15" customHeight="1" x14ac:dyDescent="0.35">
      <c r="G450"/>
      <c r="H450"/>
      <c r="I450"/>
      <c r="K450"/>
    </row>
    <row r="451" spans="7:11" ht="15" customHeight="1" x14ac:dyDescent="0.35">
      <c r="G451"/>
      <c r="H451"/>
      <c r="I451"/>
      <c r="K451"/>
    </row>
    <row r="452" spans="7:11" ht="15" customHeight="1" x14ac:dyDescent="0.35">
      <c r="G452"/>
      <c r="H452"/>
      <c r="I452"/>
      <c r="K452"/>
    </row>
    <row r="453" spans="7:11" ht="15" customHeight="1" x14ac:dyDescent="0.35">
      <c r="G453"/>
      <c r="H453"/>
      <c r="I453"/>
      <c r="K453"/>
    </row>
    <row r="454" spans="7:11" ht="15" customHeight="1" x14ac:dyDescent="0.35">
      <c r="G454"/>
      <c r="H454"/>
      <c r="I454"/>
      <c r="K454"/>
    </row>
    <row r="455" spans="7:11" ht="15" customHeight="1" x14ac:dyDescent="0.35">
      <c r="G455"/>
      <c r="H455"/>
      <c r="I455"/>
      <c r="K455"/>
    </row>
    <row r="456" spans="7:11" ht="15" customHeight="1" x14ac:dyDescent="0.35">
      <c r="G456"/>
      <c r="H456"/>
      <c r="I456"/>
      <c r="K456"/>
    </row>
    <row r="457" spans="7:11" ht="15" customHeight="1" x14ac:dyDescent="0.35">
      <c r="G457"/>
      <c r="H457"/>
      <c r="I457"/>
      <c r="K457"/>
    </row>
    <row r="458" spans="7:11" ht="15" customHeight="1" x14ac:dyDescent="0.35">
      <c r="G458"/>
      <c r="H458"/>
      <c r="I458"/>
      <c r="K458"/>
    </row>
    <row r="459" spans="7:11" ht="15" customHeight="1" x14ac:dyDescent="0.35">
      <c r="G459"/>
      <c r="H459"/>
      <c r="I459"/>
      <c r="K459"/>
    </row>
    <row r="460" spans="7:11" ht="15" customHeight="1" x14ac:dyDescent="0.35">
      <c r="G460"/>
      <c r="H460"/>
      <c r="I460"/>
      <c r="K460"/>
    </row>
    <row r="461" spans="7:11" ht="15" customHeight="1" x14ac:dyDescent="0.35">
      <c r="G461"/>
      <c r="H461"/>
      <c r="I461"/>
      <c r="K461"/>
    </row>
    <row r="462" spans="7:11" ht="15" customHeight="1" x14ac:dyDescent="0.35">
      <c r="G462"/>
      <c r="H462"/>
      <c r="I462"/>
      <c r="K462"/>
    </row>
    <row r="463" spans="7:11" ht="15" customHeight="1" x14ac:dyDescent="0.35">
      <c r="G463"/>
      <c r="H463"/>
      <c r="I463"/>
      <c r="K463"/>
    </row>
    <row r="464" spans="7:11" ht="15" customHeight="1" x14ac:dyDescent="0.35">
      <c r="G464"/>
      <c r="H464"/>
      <c r="I464"/>
      <c r="K464"/>
    </row>
    <row r="465" spans="7:11" ht="15" customHeight="1" x14ac:dyDescent="0.35">
      <c r="G465"/>
      <c r="H465"/>
      <c r="I465"/>
      <c r="K465"/>
    </row>
    <row r="466" spans="7:11" ht="15" customHeight="1" x14ac:dyDescent="0.35">
      <c r="G466"/>
      <c r="H466"/>
      <c r="I466"/>
      <c r="K466"/>
    </row>
    <row r="467" spans="7:11" ht="15" customHeight="1" x14ac:dyDescent="0.35">
      <c r="G467"/>
      <c r="H467"/>
      <c r="I467"/>
      <c r="K467"/>
    </row>
    <row r="468" spans="7:11" ht="15" customHeight="1" x14ac:dyDescent="0.35">
      <c r="G468"/>
      <c r="H468"/>
      <c r="I468"/>
      <c r="K468"/>
    </row>
    <row r="469" spans="7:11" ht="15" customHeight="1" x14ac:dyDescent="0.35">
      <c r="G469"/>
      <c r="H469"/>
      <c r="I469"/>
      <c r="K469"/>
    </row>
    <row r="470" spans="7:11" ht="15" customHeight="1" x14ac:dyDescent="0.35">
      <c r="G470"/>
      <c r="H470"/>
      <c r="I470"/>
      <c r="K470"/>
    </row>
    <row r="471" spans="7:11" ht="15" customHeight="1" x14ac:dyDescent="0.35">
      <c r="G471"/>
      <c r="H471"/>
      <c r="I471"/>
      <c r="K471"/>
    </row>
    <row r="472" spans="7:11" ht="15" customHeight="1" x14ac:dyDescent="0.35">
      <c r="G472"/>
      <c r="H472"/>
      <c r="I472"/>
      <c r="K472"/>
    </row>
    <row r="473" spans="7:11" ht="15" customHeight="1" x14ac:dyDescent="0.35">
      <c r="G473"/>
      <c r="H473"/>
      <c r="I473"/>
      <c r="K473"/>
    </row>
    <row r="474" spans="7:11" ht="15" customHeight="1" x14ac:dyDescent="0.35">
      <c r="G474"/>
      <c r="H474"/>
      <c r="I474"/>
      <c r="K474"/>
    </row>
    <row r="475" spans="7:11" ht="15" customHeight="1" x14ac:dyDescent="0.35">
      <c r="G475"/>
      <c r="H475"/>
      <c r="I475"/>
      <c r="K475"/>
    </row>
    <row r="476" spans="7:11" ht="15" customHeight="1" x14ac:dyDescent="0.35">
      <c r="G476"/>
      <c r="H476"/>
      <c r="I476"/>
      <c r="K476"/>
    </row>
    <row r="477" spans="7:11" ht="15" customHeight="1" x14ac:dyDescent="0.35">
      <c r="G477"/>
      <c r="H477"/>
      <c r="I477"/>
      <c r="K477"/>
    </row>
    <row r="478" spans="7:11" ht="15" customHeight="1" x14ac:dyDescent="0.35">
      <c r="G478"/>
      <c r="H478"/>
      <c r="I478"/>
      <c r="K478"/>
    </row>
    <row r="479" spans="7:11" ht="15" customHeight="1" x14ac:dyDescent="0.35">
      <c r="G479"/>
      <c r="H479"/>
      <c r="I479"/>
      <c r="K479"/>
    </row>
    <row r="480" spans="7:11" ht="15" customHeight="1" x14ac:dyDescent="0.35">
      <c r="G480"/>
      <c r="H480"/>
      <c r="I480"/>
      <c r="K480"/>
    </row>
    <row r="481" spans="7:11" ht="15" customHeight="1" x14ac:dyDescent="0.35">
      <c r="G481"/>
      <c r="H481"/>
      <c r="I481"/>
      <c r="K481"/>
    </row>
    <row r="482" spans="7:11" ht="15" customHeight="1" x14ac:dyDescent="0.35">
      <c r="G482"/>
      <c r="H482"/>
      <c r="I482"/>
      <c r="K482"/>
    </row>
    <row r="483" spans="7:11" ht="15" customHeight="1" x14ac:dyDescent="0.35">
      <c r="G483"/>
      <c r="H483"/>
      <c r="I483"/>
      <c r="K483"/>
    </row>
    <row r="484" spans="7:11" ht="15" customHeight="1" x14ac:dyDescent="0.35">
      <c r="G484"/>
      <c r="H484"/>
      <c r="I484"/>
      <c r="K484"/>
    </row>
    <row r="485" spans="7:11" ht="15" customHeight="1" x14ac:dyDescent="0.35">
      <c r="G485"/>
      <c r="H485"/>
      <c r="I485"/>
      <c r="K485"/>
    </row>
    <row r="486" spans="7:11" ht="15" customHeight="1" x14ac:dyDescent="0.35">
      <c r="G486"/>
      <c r="H486"/>
      <c r="I486"/>
      <c r="K486"/>
    </row>
    <row r="487" spans="7:11" ht="15" customHeight="1" x14ac:dyDescent="0.35">
      <c r="G487"/>
      <c r="H487"/>
      <c r="I487"/>
      <c r="K487"/>
    </row>
    <row r="488" spans="7:11" ht="15" customHeight="1" x14ac:dyDescent="0.35">
      <c r="G488"/>
      <c r="H488"/>
      <c r="I488"/>
      <c r="K488"/>
    </row>
    <row r="489" spans="7:11" ht="15" customHeight="1" x14ac:dyDescent="0.35">
      <c r="G489"/>
      <c r="H489"/>
      <c r="I489"/>
      <c r="K489"/>
    </row>
    <row r="490" spans="7:11" ht="15" customHeight="1" x14ac:dyDescent="0.35">
      <c r="G490"/>
      <c r="H490"/>
      <c r="I490"/>
      <c r="K490"/>
    </row>
    <row r="491" spans="7:11" ht="15" customHeight="1" x14ac:dyDescent="0.35">
      <c r="G491"/>
      <c r="H491"/>
      <c r="I491"/>
      <c r="K491"/>
    </row>
    <row r="492" spans="7:11" ht="15" customHeight="1" x14ac:dyDescent="0.35">
      <c r="G492"/>
      <c r="H492"/>
      <c r="I492"/>
      <c r="K492"/>
    </row>
    <row r="493" spans="7:11" ht="15" customHeight="1" x14ac:dyDescent="0.35">
      <c r="G493"/>
      <c r="H493"/>
      <c r="I493"/>
      <c r="K493"/>
    </row>
    <row r="494" spans="7:11" ht="15" customHeight="1" x14ac:dyDescent="0.35">
      <c r="G494"/>
      <c r="H494"/>
      <c r="I494"/>
      <c r="K494"/>
    </row>
    <row r="495" spans="7:11" ht="15" customHeight="1" x14ac:dyDescent="0.35">
      <c r="G495"/>
      <c r="H495"/>
      <c r="I495"/>
      <c r="K495"/>
    </row>
    <row r="496" spans="7:11" ht="15" customHeight="1" x14ac:dyDescent="0.35">
      <c r="G496"/>
      <c r="H496"/>
      <c r="I496"/>
      <c r="K496"/>
    </row>
    <row r="497" spans="7:11" ht="15" customHeight="1" x14ac:dyDescent="0.35">
      <c r="G497"/>
      <c r="H497"/>
      <c r="I497"/>
      <c r="K497"/>
    </row>
    <row r="498" spans="7:11" ht="15" customHeight="1" x14ac:dyDescent="0.35">
      <c r="G498"/>
      <c r="H498"/>
      <c r="I498"/>
      <c r="K498"/>
    </row>
    <row r="499" spans="7:11" ht="15" customHeight="1" x14ac:dyDescent="0.35">
      <c r="G499"/>
      <c r="H499"/>
      <c r="I499"/>
      <c r="K499"/>
    </row>
    <row r="500" spans="7:11" ht="15" customHeight="1" x14ac:dyDescent="0.35">
      <c r="G500"/>
      <c r="H500"/>
      <c r="I500"/>
      <c r="K500"/>
    </row>
    <row r="501" spans="7:11" ht="15" customHeight="1" x14ac:dyDescent="0.35">
      <c r="G501"/>
      <c r="H501"/>
      <c r="I501"/>
      <c r="K501"/>
    </row>
    <row r="502" spans="7:11" ht="15" customHeight="1" x14ac:dyDescent="0.35">
      <c r="G502"/>
      <c r="H502"/>
      <c r="I502"/>
      <c r="K502"/>
    </row>
    <row r="503" spans="7:11" ht="15" customHeight="1" x14ac:dyDescent="0.35">
      <c r="G503"/>
      <c r="H503"/>
      <c r="I503"/>
      <c r="K503"/>
    </row>
    <row r="504" spans="7:11" ht="15" customHeight="1" x14ac:dyDescent="0.35">
      <c r="G504"/>
      <c r="H504"/>
      <c r="I504"/>
      <c r="K504"/>
    </row>
    <row r="505" spans="7:11" ht="15" customHeight="1" x14ac:dyDescent="0.35">
      <c r="G505"/>
      <c r="H505"/>
      <c r="I505"/>
      <c r="K505"/>
    </row>
    <row r="506" spans="7:11" ht="15" customHeight="1" x14ac:dyDescent="0.35">
      <c r="G506"/>
      <c r="H506"/>
      <c r="I506"/>
      <c r="K506"/>
    </row>
    <row r="507" spans="7:11" ht="15" customHeight="1" x14ac:dyDescent="0.35">
      <c r="G507"/>
      <c r="H507"/>
      <c r="I507"/>
      <c r="K507"/>
    </row>
    <row r="508" spans="7:11" ht="15" customHeight="1" x14ac:dyDescent="0.35">
      <c r="G508"/>
      <c r="H508"/>
      <c r="I508"/>
      <c r="K508"/>
    </row>
    <row r="509" spans="7:11" ht="15" customHeight="1" x14ac:dyDescent="0.35">
      <c r="G509"/>
      <c r="H509"/>
      <c r="I509"/>
      <c r="K509"/>
    </row>
    <row r="510" spans="7:11" ht="15" customHeight="1" x14ac:dyDescent="0.35">
      <c r="G510"/>
      <c r="H510"/>
      <c r="I510"/>
      <c r="K510"/>
    </row>
    <row r="511" spans="7:11" ht="15" customHeight="1" x14ac:dyDescent="0.35">
      <c r="G511"/>
      <c r="H511"/>
      <c r="I511"/>
      <c r="K511"/>
    </row>
    <row r="512" spans="7:11" ht="15" customHeight="1" x14ac:dyDescent="0.35">
      <c r="G512"/>
      <c r="H512"/>
      <c r="I512"/>
      <c r="K512"/>
    </row>
    <row r="513" spans="7:11" ht="15" customHeight="1" x14ac:dyDescent="0.35">
      <c r="G513"/>
      <c r="H513"/>
      <c r="I513"/>
      <c r="K513"/>
    </row>
    <row r="514" spans="7:11" ht="15" customHeight="1" x14ac:dyDescent="0.35">
      <c r="G514"/>
      <c r="H514"/>
      <c r="I514"/>
      <c r="K514"/>
    </row>
    <row r="515" spans="7:11" ht="15" customHeight="1" x14ac:dyDescent="0.35">
      <c r="G515"/>
      <c r="H515"/>
      <c r="I515"/>
      <c r="K515"/>
    </row>
    <row r="516" spans="7:11" ht="15" customHeight="1" x14ac:dyDescent="0.35">
      <c r="G516"/>
      <c r="H516"/>
      <c r="I516"/>
      <c r="K516"/>
    </row>
    <row r="517" spans="7:11" ht="15" customHeight="1" x14ac:dyDescent="0.35">
      <c r="G517"/>
      <c r="H517"/>
      <c r="I517"/>
      <c r="K517"/>
    </row>
    <row r="518" spans="7:11" ht="15" customHeight="1" x14ac:dyDescent="0.35">
      <c r="G518"/>
      <c r="H518"/>
      <c r="I518"/>
      <c r="K518"/>
    </row>
    <row r="519" spans="7:11" ht="15" customHeight="1" x14ac:dyDescent="0.35">
      <c r="G519"/>
      <c r="H519"/>
      <c r="I519"/>
      <c r="K519"/>
    </row>
    <row r="520" spans="7:11" ht="15" customHeight="1" x14ac:dyDescent="0.35">
      <c r="G520"/>
      <c r="H520"/>
      <c r="I520"/>
      <c r="K520"/>
    </row>
    <row r="521" spans="7:11" ht="15" customHeight="1" x14ac:dyDescent="0.35">
      <c r="G521"/>
      <c r="H521"/>
      <c r="I521"/>
      <c r="K521"/>
    </row>
    <row r="522" spans="7:11" ht="15" customHeight="1" x14ac:dyDescent="0.35">
      <c r="G522"/>
      <c r="H522"/>
      <c r="I522"/>
      <c r="K522"/>
    </row>
    <row r="523" spans="7:11" ht="15" customHeight="1" x14ac:dyDescent="0.35">
      <c r="G523"/>
      <c r="H523"/>
      <c r="I523"/>
      <c r="K523"/>
    </row>
    <row r="524" spans="7:11" ht="15" customHeight="1" x14ac:dyDescent="0.35">
      <c r="G524"/>
      <c r="H524"/>
      <c r="I524"/>
      <c r="K524"/>
    </row>
    <row r="525" spans="7:11" ht="15" customHeight="1" x14ac:dyDescent="0.35">
      <c r="G525"/>
      <c r="H525"/>
      <c r="I525"/>
      <c r="K525"/>
    </row>
    <row r="526" spans="7:11" ht="15" customHeight="1" x14ac:dyDescent="0.35">
      <c r="G526"/>
      <c r="H526"/>
      <c r="I526"/>
      <c r="K526"/>
    </row>
    <row r="527" spans="7:11" ht="15" customHeight="1" x14ac:dyDescent="0.35">
      <c r="G527"/>
      <c r="H527"/>
      <c r="I527"/>
      <c r="K527"/>
    </row>
    <row r="528" spans="7:11" ht="15" customHeight="1" x14ac:dyDescent="0.35">
      <c r="G528"/>
      <c r="H528"/>
      <c r="I528"/>
      <c r="K528"/>
    </row>
    <row r="529" spans="7:11" ht="15" customHeight="1" x14ac:dyDescent="0.35">
      <c r="G529"/>
      <c r="H529"/>
      <c r="I529"/>
      <c r="K529"/>
    </row>
    <row r="530" spans="7:11" ht="15" customHeight="1" x14ac:dyDescent="0.35">
      <c r="G530"/>
      <c r="H530"/>
      <c r="I530"/>
      <c r="K530"/>
    </row>
    <row r="531" spans="7:11" ht="15" customHeight="1" x14ac:dyDescent="0.35">
      <c r="G531"/>
      <c r="H531"/>
      <c r="I531"/>
      <c r="K531"/>
    </row>
    <row r="532" spans="7:11" ht="15" customHeight="1" x14ac:dyDescent="0.35">
      <c r="G532"/>
      <c r="H532"/>
      <c r="I532"/>
      <c r="K532"/>
    </row>
    <row r="533" spans="7:11" ht="15" customHeight="1" x14ac:dyDescent="0.35">
      <c r="G533"/>
      <c r="H533"/>
      <c r="I533"/>
      <c r="K533"/>
    </row>
    <row r="534" spans="7:11" ht="15" customHeight="1" x14ac:dyDescent="0.35">
      <c r="G534"/>
      <c r="H534"/>
      <c r="I534"/>
      <c r="K534"/>
    </row>
    <row r="535" spans="7:11" ht="15" customHeight="1" x14ac:dyDescent="0.35">
      <c r="G535"/>
      <c r="H535"/>
      <c r="I535"/>
      <c r="K535"/>
    </row>
    <row r="536" spans="7:11" ht="15" customHeight="1" x14ac:dyDescent="0.35">
      <c r="G536"/>
      <c r="H536"/>
      <c r="I536"/>
      <c r="K536"/>
    </row>
    <row r="537" spans="7:11" ht="15" customHeight="1" x14ac:dyDescent="0.35">
      <c r="G537"/>
      <c r="H537"/>
      <c r="I537"/>
      <c r="K537"/>
    </row>
    <row r="538" spans="7:11" ht="15" customHeight="1" x14ac:dyDescent="0.35">
      <c r="G538"/>
      <c r="H538"/>
      <c r="I538"/>
      <c r="K538"/>
    </row>
    <row r="539" spans="7:11" ht="15" customHeight="1" x14ac:dyDescent="0.35">
      <c r="G539"/>
      <c r="H539"/>
      <c r="I539"/>
      <c r="K539"/>
    </row>
    <row r="540" spans="7:11" ht="15" customHeight="1" x14ac:dyDescent="0.35">
      <c r="G540"/>
      <c r="H540"/>
      <c r="I540"/>
      <c r="K540"/>
    </row>
    <row r="541" spans="7:11" ht="15" customHeight="1" x14ac:dyDescent="0.35">
      <c r="G541"/>
      <c r="H541"/>
      <c r="I541"/>
      <c r="K541"/>
    </row>
    <row r="542" spans="7:11" ht="15" customHeight="1" x14ac:dyDescent="0.35">
      <c r="G542"/>
      <c r="H542"/>
      <c r="I542"/>
      <c r="K542"/>
    </row>
    <row r="543" spans="7:11" ht="15" customHeight="1" x14ac:dyDescent="0.35">
      <c r="G543"/>
      <c r="H543"/>
      <c r="I543"/>
      <c r="K543"/>
    </row>
    <row r="544" spans="7:11" ht="15" customHeight="1" x14ac:dyDescent="0.35">
      <c r="G544"/>
      <c r="H544"/>
      <c r="I544"/>
      <c r="K544"/>
    </row>
    <row r="545" spans="7:11" ht="15" customHeight="1" x14ac:dyDescent="0.35">
      <c r="G545"/>
      <c r="H545"/>
      <c r="I545"/>
      <c r="K545"/>
    </row>
    <row r="546" spans="7:11" ht="15" customHeight="1" x14ac:dyDescent="0.35">
      <c r="G546"/>
      <c r="H546"/>
      <c r="I546"/>
      <c r="K546"/>
    </row>
    <row r="547" spans="7:11" ht="15" customHeight="1" x14ac:dyDescent="0.35">
      <c r="G547"/>
      <c r="H547"/>
      <c r="I547"/>
      <c r="K547"/>
    </row>
    <row r="548" spans="7:11" ht="15" customHeight="1" x14ac:dyDescent="0.35">
      <c r="G548"/>
      <c r="H548"/>
      <c r="I548"/>
      <c r="K548"/>
    </row>
    <row r="549" spans="7:11" ht="15" customHeight="1" x14ac:dyDescent="0.35">
      <c r="G549"/>
      <c r="H549"/>
      <c r="I549"/>
      <c r="K549"/>
    </row>
    <row r="550" spans="7:11" ht="15" customHeight="1" x14ac:dyDescent="0.35">
      <c r="G550"/>
      <c r="H550"/>
      <c r="I550"/>
      <c r="K550"/>
    </row>
    <row r="551" spans="7:11" ht="15" customHeight="1" x14ac:dyDescent="0.35">
      <c r="G551"/>
      <c r="H551"/>
      <c r="I551"/>
      <c r="K551"/>
    </row>
    <row r="552" spans="7:11" ht="15" customHeight="1" x14ac:dyDescent="0.35">
      <c r="G552"/>
      <c r="H552"/>
      <c r="I552"/>
      <c r="K552"/>
    </row>
    <row r="553" spans="7:11" ht="15" customHeight="1" x14ac:dyDescent="0.35">
      <c r="G553"/>
      <c r="H553"/>
      <c r="I553"/>
      <c r="K553"/>
    </row>
    <row r="554" spans="7:11" ht="15" customHeight="1" x14ac:dyDescent="0.35">
      <c r="G554"/>
      <c r="H554"/>
      <c r="I554"/>
      <c r="K554"/>
    </row>
    <row r="555" spans="7:11" ht="15" customHeight="1" x14ac:dyDescent="0.35">
      <c r="G555"/>
      <c r="H555"/>
      <c r="I555"/>
      <c r="K555"/>
    </row>
    <row r="556" spans="7:11" ht="15" customHeight="1" x14ac:dyDescent="0.35">
      <c r="G556"/>
      <c r="H556"/>
      <c r="I556"/>
      <c r="K556"/>
    </row>
    <row r="557" spans="7:11" ht="15" customHeight="1" x14ac:dyDescent="0.35">
      <c r="G557"/>
      <c r="H557"/>
      <c r="I557"/>
      <c r="K557"/>
    </row>
    <row r="558" spans="7:11" ht="15" customHeight="1" x14ac:dyDescent="0.35">
      <c r="G558"/>
      <c r="H558"/>
      <c r="I558"/>
      <c r="K558"/>
    </row>
    <row r="559" spans="7:11" ht="15" customHeight="1" x14ac:dyDescent="0.35">
      <c r="G559"/>
      <c r="H559"/>
      <c r="I559"/>
      <c r="K559"/>
    </row>
    <row r="560" spans="7:11" ht="15" customHeight="1" x14ac:dyDescent="0.35">
      <c r="G560"/>
      <c r="H560"/>
      <c r="I560"/>
      <c r="K560"/>
    </row>
    <row r="561" spans="7:11" ht="15" customHeight="1" x14ac:dyDescent="0.35">
      <c r="G561"/>
      <c r="H561"/>
      <c r="I561"/>
      <c r="K561"/>
    </row>
    <row r="562" spans="7:11" ht="15" customHeight="1" x14ac:dyDescent="0.35">
      <c r="G562"/>
      <c r="H562"/>
      <c r="I562"/>
      <c r="K562"/>
    </row>
    <row r="563" spans="7:11" ht="15" customHeight="1" x14ac:dyDescent="0.35">
      <c r="G563"/>
      <c r="H563"/>
      <c r="I563"/>
      <c r="K563"/>
    </row>
    <row r="564" spans="7:11" ht="15" customHeight="1" x14ac:dyDescent="0.35">
      <c r="G564"/>
      <c r="H564"/>
      <c r="I564"/>
      <c r="K564"/>
    </row>
    <row r="565" spans="7:11" ht="15" customHeight="1" x14ac:dyDescent="0.35">
      <c r="G565"/>
      <c r="H565"/>
      <c r="I565"/>
      <c r="K565"/>
    </row>
    <row r="566" spans="7:11" ht="15" customHeight="1" x14ac:dyDescent="0.35">
      <c r="G566"/>
      <c r="H566"/>
      <c r="I566"/>
      <c r="K566"/>
    </row>
    <row r="567" spans="7:11" ht="15" customHeight="1" x14ac:dyDescent="0.35">
      <c r="G567"/>
      <c r="H567"/>
      <c r="I567"/>
      <c r="K567"/>
    </row>
    <row r="568" spans="7:11" ht="15" customHeight="1" x14ac:dyDescent="0.35">
      <c r="G568"/>
      <c r="H568"/>
      <c r="I568"/>
      <c r="K568"/>
    </row>
    <row r="569" spans="7:11" ht="15" customHeight="1" x14ac:dyDescent="0.35">
      <c r="G569"/>
      <c r="H569"/>
      <c r="I569"/>
      <c r="K569"/>
    </row>
    <row r="570" spans="7:11" ht="15" customHeight="1" x14ac:dyDescent="0.35">
      <c r="G570"/>
      <c r="H570"/>
      <c r="I570"/>
      <c r="K570"/>
    </row>
    <row r="571" spans="7:11" ht="15" customHeight="1" x14ac:dyDescent="0.35">
      <c r="G571"/>
      <c r="H571"/>
      <c r="I571"/>
      <c r="K571"/>
    </row>
    <row r="572" spans="7:11" ht="15" customHeight="1" x14ac:dyDescent="0.35">
      <c r="G572"/>
      <c r="H572"/>
      <c r="I572"/>
      <c r="K572"/>
    </row>
    <row r="573" spans="7:11" ht="15" customHeight="1" x14ac:dyDescent="0.35">
      <c r="G573"/>
      <c r="H573"/>
      <c r="I573"/>
      <c r="K573"/>
    </row>
    <row r="574" spans="7:11" ht="15" customHeight="1" x14ac:dyDescent="0.35">
      <c r="G574"/>
      <c r="H574"/>
      <c r="I574"/>
      <c r="K574"/>
    </row>
    <row r="575" spans="7:11" ht="15" customHeight="1" x14ac:dyDescent="0.35">
      <c r="G575"/>
      <c r="H575"/>
      <c r="I575"/>
      <c r="K575"/>
    </row>
    <row r="576" spans="7:11" ht="15" customHeight="1" x14ac:dyDescent="0.35">
      <c r="G576"/>
      <c r="H576"/>
      <c r="I576"/>
      <c r="K576"/>
    </row>
    <row r="577" spans="7:11" ht="15" customHeight="1" x14ac:dyDescent="0.35">
      <c r="G577"/>
      <c r="H577"/>
      <c r="I577"/>
      <c r="K577"/>
    </row>
    <row r="578" spans="7:11" ht="15" customHeight="1" x14ac:dyDescent="0.35">
      <c r="G578"/>
      <c r="H578"/>
      <c r="I578"/>
      <c r="K578"/>
    </row>
    <row r="579" spans="7:11" ht="15" customHeight="1" x14ac:dyDescent="0.35">
      <c r="G579"/>
      <c r="H579"/>
      <c r="I579"/>
      <c r="K579"/>
    </row>
    <row r="580" spans="7:11" ht="15" customHeight="1" x14ac:dyDescent="0.35">
      <c r="G580"/>
      <c r="H580"/>
      <c r="I580"/>
      <c r="K580"/>
    </row>
    <row r="581" spans="7:11" ht="15" customHeight="1" x14ac:dyDescent="0.35">
      <c r="G581"/>
      <c r="H581"/>
      <c r="I581"/>
      <c r="K581"/>
    </row>
    <row r="582" spans="7:11" ht="15" customHeight="1" x14ac:dyDescent="0.35">
      <c r="G582"/>
      <c r="H582"/>
      <c r="I582"/>
      <c r="K582"/>
    </row>
    <row r="583" spans="7:11" ht="15" customHeight="1" x14ac:dyDescent="0.35">
      <c r="G583"/>
      <c r="H583"/>
      <c r="I583"/>
      <c r="K583"/>
    </row>
    <row r="584" spans="7:11" ht="15" customHeight="1" x14ac:dyDescent="0.35">
      <c r="G584"/>
      <c r="H584"/>
      <c r="I584"/>
      <c r="K584"/>
    </row>
    <row r="585" spans="7:11" ht="15" customHeight="1" x14ac:dyDescent="0.35">
      <c r="G585"/>
      <c r="H585"/>
      <c r="I585"/>
      <c r="K585"/>
    </row>
    <row r="586" spans="7:11" ht="15" customHeight="1" x14ac:dyDescent="0.35">
      <c r="G586"/>
      <c r="H586"/>
      <c r="I586"/>
      <c r="K586"/>
    </row>
    <row r="587" spans="7:11" ht="15" customHeight="1" x14ac:dyDescent="0.35">
      <c r="G587"/>
      <c r="H587"/>
      <c r="I587"/>
      <c r="K587"/>
    </row>
    <row r="588" spans="7:11" ht="15" customHeight="1" x14ac:dyDescent="0.35">
      <c r="G588"/>
      <c r="H588"/>
      <c r="I588"/>
      <c r="K588"/>
    </row>
    <row r="589" spans="7:11" ht="15" customHeight="1" x14ac:dyDescent="0.35">
      <c r="G589"/>
      <c r="H589"/>
      <c r="I589"/>
      <c r="K589"/>
    </row>
    <row r="590" spans="7:11" ht="15" customHeight="1" x14ac:dyDescent="0.35">
      <c r="G590"/>
      <c r="H590"/>
      <c r="I590"/>
      <c r="K590"/>
    </row>
    <row r="591" spans="7:11" ht="15" customHeight="1" x14ac:dyDescent="0.35">
      <c r="G591"/>
      <c r="H591"/>
      <c r="I591"/>
      <c r="K591"/>
    </row>
    <row r="592" spans="7:11" ht="15" customHeight="1" x14ac:dyDescent="0.35">
      <c r="G592"/>
      <c r="H592"/>
      <c r="I592"/>
      <c r="K592"/>
    </row>
    <row r="593" spans="7:11" ht="15" customHeight="1" x14ac:dyDescent="0.35">
      <c r="G593"/>
      <c r="H593"/>
      <c r="I593"/>
      <c r="K593"/>
    </row>
    <row r="594" spans="7:11" ht="15" customHeight="1" x14ac:dyDescent="0.35">
      <c r="G594"/>
      <c r="H594"/>
      <c r="I594"/>
      <c r="K594"/>
    </row>
    <row r="595" spans="7:11" ht="15" customHeight="1" x14ac:dyDescent="0.35">
      <c r="G595"/>
      <c r="H595"/>
      <c r="I595"/>
      <c r="K595"/>
    </row>
    <row r="596" spans="7:11" ht="15" customHeight="1" x14ac:dyDescent="0.35">
      <c r="G596"/>
      <c r="H596"/>
      <c r="I596"/>
      <c r="K596"/>
    </row>
    <row r="597" spans="7:11" ht="15" customHeight="1" x14ac:dyDescent="0.35">
      <c r="G597"/>
      <c r="H597"/>
      <c r="I597"/>
      <c r="K597"/>
    </row>
    <row r="598" spans="7:11" ht="15" customHeight="1" x14ac:dyDescent="0.35">
      <c r="G598"/>
      <c r="H598"/>
      <c r="I598"/>
      <c r="K598"/>
    </row>
    <row r="599" spans="7:11" ht="15" customHeight="1" x14ac:dyDescent="0.35">
      <c r="G599"/>
      <c r="H599"/>
      <c r="I599"/>
      <c r="K599"/>
    </row>
    <row r="600" spans="7:11" ht="15" customHeight="1" x14ac:dyDescent="0.35">
      <c r="G600"/>
      <c r="H600"/>
      <c r="I600"/>
      <c r="K600"/>
    </row>
    <row r="601" spans="7:11" ht="15" customHeight="1" x14ac:dyDescent="0.35">
      <c r="G601"/>
      <c r="H601"/>
      <c r="I601"/>
      <c r="K601"/>
    </row>
    <row r="602" spans="7:11" ht="15" customHeight="1" x14ac:dyDescent="0.35">
      <c r="G602"/>
      <c r="H602"/>
      <c r="I602"/>
      <c r="K602"/>
    </row>
    <row r="603" spans="7:11" ht="15" customHeight="1" x14ac:dyDescent="0.35">
      <c r="G603"/>
      <c r="H603"/>
      <c r="I603"/>
      <c r="K603"/>
    </row>
    <row r="604" spans="7:11" ht="15" customHeight="1" x14ac:dyDescent="0.35">
      <c r="G604"/>
      <c r="H604"/>
      <c r="I604"/>
      <c r="K604"/>
    </row>
    <row r="605" spans="7:11" ht="15" customHeight="1" x14ac:dyDescent="0.35">
      <c r="G605"/>
      <c r="H605"/>
      <c r="I605"/>
      <c r="K605"/>
    </row>
    <row r="606" spans="7:11" ht="15" customHeight="1" x14ac:dyDescent="0.35">
      <c r="G606"/>
      <c r="H606"/>
      <c r="I606"/>
      <c r="K606"/>
    </row>
    <row r="607" spans="7:11" ht="15" customHeight="1" x14ac:dyDescent="0.35">
      <c r="G607"/>
      <c r="H607"/>
      <c r="I607"/>
      <c r="K607"/>
    </row>
    <row r="608" spans="7:11" ht="15" customHeight="1" x14ac:dyDescent="0.35">
      <c r="G608"/>
      <c r="H608"/>
      <c r="I608"/>
      <c r="K608"/>
    </row>
    <row r="609" spans="7:11" ht="15" customHeight="1" x14ac:dyDescent="0.35">
      <c r="G609"/>
      <c r="H609"/>
      <c r="I609"/>
      <c r="K609"/>
    </row>
    <row r="610" spans="7:11" ht="15" customHeight="1" x14ac:dyDescent="0.35">
      <c r="G610"/>
      <c r="H610"/>
      <c r="I610"/>
      <c r="K610"/>
    </row>
    <row r="611" spans="7:11" ht="15" customHeight="1" x14ac:dyDescent="0.35">
      <c r="G611"/>
      <c r="H611"/>
      <c r="I611"/>
      <c r="K611"/>
    </row>
    <row r="612" spans="7:11" ht="15" customHeight="1" x14ac:dyDescent="0.35">
      <c r="G612"/>
      <c r="H612"/>
      <c r="I612"/>
      <c r="K612"/>
    </row>
    <row r="613" spans="7:11" ht="15" customHeight="1" x14ac:dyDescent="0.35">
      <c r="G613"/>
      <c r="H613"/>
      <c r="I613"/>
      <c r="K613"/>
    </row>
    <row r="614" spans="7:11" ht="15" customHeight="1" x14ac:dyDescent="0.35">
      <c r="G614"/>
      <c r="H614"/>
      <c r="I614"/>
      <c r="K614"/>
    </row>
    <row r="615" spans="7:11" ht="15" customHeight="1" x14ac:dyDescent="0.35">
      <c r="G615"/>
      <c r="H615"/>
      <c r="I615"/>
      <c r="K615"/>
    </row>
    <row r="616" spans="7:11" ht="15" customHeight="1" x14ac:dyDescent="0.35">
      <c r="G616"/>
      <c r="H616"/>
      <c r="I616"/>
      <c r="K616"/>
    </row>
    <row r="617" spans="7:11" ht="15" customHeight="1" x14ac:dyDescent="0.35">
      <c r="G617"/>
      <c r="H617"/>
      <c r="I617"/>
      <c r="K617"/>
    </row>
    <row r="618" spans="7:11" ht="15" customHeight="1" x14ac:dyDescent="0.35">
      <c r="G618"/>
      <c r="H618"/>
      <c r="I618"/>
      <c r="K618"/>
    </row>
    <row r="619" spans="7:11" ht="15" customHeight="1" x14ac:dyDescent="0.35">
      <c r="G619"/>
      <c r="H619"/>
      <c r="I619"/>
      <c r="K619"/>
    </row>
    <row r="620" spans="7:11" ht="15" customHeight="1" x14ac:dyDescent="0.35">
      <c r="G620"/>
      <c r="H620"/>
      <c r="I620"/>
      <c r="K620"/>
    </row>
    <row r="621" spans="7:11" ht="15" customHeight="1" x14ac:dyDescent="0.35">
      <c r="G621"/>
      <c r="H621"/>
      <c r="I621"/>
      <c r="K621"/>
    </row>
    <row r="622" spans="7:11" ht="15" customHeight="1" x14ac:dyDescent="0.35">
      <c r="G622"/>
      <c r="H622"/>
      <c r="I622"/>
      <c r="K622"/>
    </row>
    <row r="623" spans="7:11" ht="15" customHeight="1" x14ac:dyDescent="0.35">
      <c r="G623"/>
      <c r="H623"/>
      <c r="I623"/>
      <c r="K623"/>
    </row>
    <row r="624" spans="7:11" ht="15" customHeight="1" x14ac:dyDescent="0.35">
      <c r="G624"/>
      <c r="H624"/>
      <c r="I624"/>
      <c r="K624"/>
    </row>
    <row r="625" spans="7:11" ht="15" customHeight="1" x14ac:dyDescent="0.35">
      <c r="G625"/>
      <c r="H625"/>
      <c r="I625"/>
      <c r="K625"/>
    </row>
    <row r="626" spans="7:11" ht="15" customHeight="1" x14ac:dyDescent="0.35">
      <c r="G626"/>
      <c r="H626"/>
      <c r="I626"/>
      <c r="K626"/>
    </row>
    <row r="627" spans="7:11" ht="15" customHeight="1" x14ac:dyDescent="0.35">
      <c r="G627"/>
      <c r="H627"/>
      <c r="I627"/>
      <c r="K627"/>
    </row>
    <row r="628" spans="7:11" ht="15" customHeight="1" x14ac:dyDescent="0.35">
      <c r="G628"/>
      <c r="H628"/>
      <c r="I628"/>
      <c r="K628"/>
    </row>
    <row r="629" spans="7:11" ht="15" customHeight="1" x14ac:dyDescent="0.35">
      <c r="G629"/>
      <c r="H629"/>
      <c r="I629"/>
      <c r="K629"/>
    </row>
    <row r="630" spans="7:11" ht="15" customHeight="1" x14ac:dyDescent="0.35">
      <c r="G630"/>
      <c r="H630"/>
      <c r="I630"/>
      <c r="K630"/>
    </row>
    <row r="631" spans="7:11" ht="15" customHeight="1" x14ac:dyDescent="0.35">
      <c r="G631"/>
      <c r="H631"/>
      <c r="I631"/>
      <c r="K631"/>
    </row>
    <row r="632" spans="7:11" ht="15" customHeight="1" x14ac:dyDescent="0.35">
      <c r="G632"/>
      <c r="H632"/>
      <c r="I632"/>
      <c r="K632"/>
    </row>
    <row r="633" spans="7:11" ht="15" customHeight="1" x14ac:dyDescent="0.35">
      <c r="G633"/>
      <c r="H633"/>
      <c r="I633"/>
      <c r="K633"/>
    </row>
    <row r="634" spans="7:11" ht="15" customHeight="1" x14ac:dyDescent="0.35">
      <c r="G634"/>
      <c r="H634"/>
      <c r="I634"/>
      <c r="K634"/>
    </row>
    <row r="635" spans="7:11" ht="15" customHeight="1" x14ac:dyDescent="0.35">
      <c r="G635"/>
      <c r="H635"/>
      <c r="I635"/>
      <c r="K635"/>
    </row>
    <row r="636" spans="7:11" ht="15" customHeight="1" x14ac:dyDescent="0.35">
      <c r="G636"/>
      <c r="H636"/>
      <c r="I636"/>
      <c r="K636"/>
    </row>
    <row r="637" spans="7:11" ht="15" customHeight="1" x14ac:dyDescent="0.35">
      <c r="G637"/>
      <c r="H637"/>
      <c r="I637"/>
      <c r="K637"/>
    </row>
    <row r="638" spans="7:11" ht="15" customHeight="1" x14ac:dyDescent="0.35">
      <c r="G638"/>
      <c r="H638"/>
      <c r="I638"/>
      <c r="K638"/>
    </row>
    <row r="639" spans="7:11" ht="15" customHeight="1" x14ac:dyDescent="0.35">
      <c r="G639"/>
      <c r="H639"/>
      <c r="I639"/>
      <c r="K639"/>
    </row>
    <row r="640" spans="7:11" ht="15" customHeight="1" x14ac:dyDescent="0.35">
      <c r="G640"/>
      <c r="H640"/>
      <c r="I640"/>
      <c r="K640"/>
    </row>
    <row r="641" spans="7:11" ht="15" customHeight="1" x14ac:dyDescent="0.35">
      <c r="G641"/>
      <c r="H641"/>
      <c r="I641"/>
      <c r="K641"/>
    </row>
    <row r="642" spans="7:11" ht="15" customHeight="1" x14ac:dyDescent="0.35">
      <c r="G642"/>
      <c r="H642"/>
      <c r="I642"/>
      <c r="K642"/>
    </row>
    <row r="643" spans="7:11" ht="15" customHeight="1" x14ac:dyDescent="0.35">
      <c r="G643"/>
      <c r="H643"/>
      <c r="I643"/>
      <c r="K643"/>
    </row>
    <row r="644" spans="7:11" ht="15" customHeight="1" x14ac:dyDescent="0.35">
      <c r="G644"/>
      <c r="H644"/>
      <c r="I644"/>
      <c r="K644"/>
    </row>
    <row r="645" spans="7:11" ht="15" customHeight="1" x14ac:dyDescent="0.35">
      <c r="G645"/>
      <c r="H645"/>
      <c r="I645"/>
      <c r="K645"/>
    </row>
    <row r="646" spans="7:11" ht="15" customHeight="1" x14ac:dyDescent="0.35">
      <c r="G646"/>
      <c r="H646"/>
      <c r="I646"/>
      <c r="K646"/>
    </row>
    <row r="647" spans="7:11" ht="15" customHeight="1" x14ac:dyDescent="0.35">
      <c r="G647"/>
      <c r="H647"/>
      <c r="I647"/>
      <c r="K647"/>
    </row>
    <row r="648" spans="7:11" ht="15" customHeight="1" x14ac:dyDescent="0.35">
      <c r="G648"/>
      <c r="H648"/>
      <c r="I648"/>
      <c r="K648"/>
    </row>
    <row r="649" spans="7:11" ht="15" customHeight="1" x14ac:dyDescent="0.35">
      <c r="G649"/>
      <c r="H649"/>
      <c r="I649"/>
      <c r="K649"/>
    </row>
    <row r="650" spans="7:11" ht="15" customHeight="1" x14ac:dyDescent="0.35">
      <c r="G650"/>
      <c r="H650"/>
      <c r="I650"/>
      <c r="K650"/>
    </row>
    <row r="651" spans="7:11" ht="15" customHeight="1" x14ac:dyDescent="0.35">
      <c r="G651"/>
      <c r="H651"/>
      <c r="I651"/>
      <c r="K651"/>
    </row>
    <row r="652" spans="7:11" ht="15" customHeight="1" x14ac:dyDescent="0.35">
      <c r="G652"/>
      <c r="H652"/>
      <c r="I652"/>
      <c r="K652"/>
    </row>
    <row r="653" spans="7:11" ht="15" customHeight="1" x14ac:dyDescent="0.35">
      <c r="G653"/>
      <c r="H653"/>
      <c r="I653"/>
      <c r="K653"/>
    </row>
    <row r="654" spans="7:11" ht="15" customHeight="1" x14ac:dyDescent="0.35">
      <c r="G654"/>
      <c r="H654"/>
      <c r="I654"/>
      <c r="K654"/>
    </row>
    <row r="655" spans="7:11" ht="15" customHeight="1" x14ac:dyDescent="0.35">
      <c r="G655"/>
      <c r="H655"/>
      <c r="I655"/>
      <c r="K655"/>
    </row>
    <row r="656" spans="7:11" ht="15" customHeight="1" x14ac:dyDescent="0.35">
      <c r="G656"/>
      <c r="H656"/>
      <c r="I656"/>
      <c r="K656"/>
    </row>
    <row r="657" spans="7:11" ht="15" customHeight="1" x14ac:dyDescent="0.35">
      <c r="G657"/>
      <c r="H657"/>
      <c r="I657"/>
      <c r="K657"/>
    </row>
    <row r="658" spans="7:11" ht="15" customHeight="1" x14ac:dyDescent="0.35">
      <c r="G658"/>
      <c r="H658"/>
      <c r="I658"/>
      <c r="K658"/>
    </row>
    <row r="659" spans="7:11" ht="15" customHeight="1" x14ac:dyDescent="0.35">
      <c r="G659"/>
      <c r="H659"/>
      <c r="I659"/>
      <c r="K659"/>
    </row>
    <row r="660" spans="7:11" ht="15" customHeight="1" x14ac:dyDescent="0.35">
      <c r="G660"/>
      <c r="H660"/>
      <c r="I660"/>
      <c r="K660"/>
    </row>
    <row r="661" spans="7:11" ht="15" customHeight="1" x14ac:dyDescent="0.35">
      <c r="G661"/>
      <c r="H661"/>
      <c r="I661"/>
      <c r="K661"/>
    </row>
    <row r="662" spans="7:11" ht="15" customHeight="1" x14ac:dyDescent="0.35">
      <c r="G662"/>
      <c r="H662"/>
      <c r="I662"/>
      <c r="K662"/>
    </row>
    <row r="663" spans="7:11" ht="15" customHeight="1" x14ac:dyDescent="0.35">
      <c r="G663"/>
      <c r="H663"/>
      <c r="I663"/>
      <c r="K663"/>
    </row>
    <row r="664" spans="7:11" ht="15" customHeight="1" x14ac:dyDescent="0.35">
      <c r="G664"/>
      <c r="H664"/>
      <c r="I664"/>
      <c r="K664"/>
    </row>
    <row r="665" spans="7:11" ht="15" customHeight="1" x14ac:dyDescent="0.35">
      <c r="G665"/>
      <c r="H665"/>
      <c r="I665"/>
      <c r="K665"/>
    </row>
    <row r="666" spans="7:11" ht="15" customHeight="1" x14ac:dyDescent="0.35">
      <c r="G666"/>
      <c r="H666"/>
      <c r="I666"/>
      <c r="K666"/>
    </row>
    <row r="667" spans="7:11" ht="15" customHeight="1" x14ac:dyDescent="0.35">
      <c r="G667"/>
      <c r="H667"/>
      <c r="I667"/>
      <c r="K667"/>
    </row>
    <row r="668" spans="7:11" ht="15" customHeight="1" x14ac:dyDescent="0.35">
      <c r="G668"/>
      <c r="H668"/>
      <c r="I668"/>
      <c r="K668"/>
    </row>
    <row r="669" spans="7:11" ht="15" customHeight="1" x14ac:dyDescent="0.35">
      <c r="G669"/>
      <c r="H669"/>
      <c r="I669"/>
      <c r="K669"/>
    </row>
    <row r="670" spans="7:11" ht="15" customHeight="1" x14ac:dyDescent="0.35">
      <c r="G670"/>
      <c r="H670"/>
      <c r="I670"/>
      <c r="K670"/>
    </row>
    <row r="671" spans="7:11" ht="15" customHeight="1" x14ac:dyDescent="0.35">
      <c r="G671"/>
      <c r="H671"/>
      <c r="I671"/>
      <c r="K671"/>
    </row>
    <row r="672" spans="7:11" ht="15" customHeight="1" x14ac:dyDescent="0.35">
      <c r="G672"/>
      <c r="H672"/>
      <c r="I672"/>
      <c r="K672"/>
    </row>
    <row r="673" spans="7:11" ht="15" customHeight="1" x14ac:dyDescent="0.35">
      <c r="G673"/>
      <c r="H673"/>
      <c r="I673"/>
      <c r="K673"/>
    </row>
    <row r="674" spans="7:11" ht="15" customHeight="1" x14ac:dyDescent="0.35">
      <c r="G674"/>
      <c r="H674"/>
      <c r="I674"/>
      <c r="K674"/>
    </row>
    <row r="675" spans="7:11" ht="15" customHeight="1" x14ac:dyDescent="0.35">
      <c r="G675"/>
      <c r="H675"/>
      <c r="I675"/>
      <c r="K675"/>
    </row>
    <row r="676" spans="7:11" ht="15" customHeight="1" x14ac:dyDescent="0.35">
      <c r="G676"/>
      <c r="H676"/>
      <c r="I676"/>
      <c r="K676"/>
    </row>
    <row r="677" spans="7:11" ht="15" customHeight="1" x14ac:dyDescent="0.35">
      <c r="G677"/>
      <c r="H677"/>
      <c r="I677"/>
      <c r="K677"/>
    </row>
    <row r="678" spans="7:11" ht="15" customHeight="1" x14ac:dyDescent="0.35">
      <c r="G678"/>
      <c r="H678"/>
      <c r="I678"/>
      <c r="K678"/>
    </row>
    <row r="679" spans="7:11" ht="15" customHeight="1" x14ac:dyDescent="0.35">
      <c r="G679"/>
      <c r="H679"/>
      <c r="I679"/>
      <c r="K679"/>
    </row>
    <row r="680" spans="7:11" ht="15" customHeight="1" x14ac:dyDescent="0.35">
      <c r="G680"/>
      <c r="H680"/>
      <c r="I680"/>
      <c r="K680"/>
    </row>
    <row r="681" spans="7:11" ht="15" customHeight="1" x14ac:dyDescent="0.35">
      <c r="G681"/>
      <c r="H681"/>
      <c r="I681"/>
      <c r="K681"/>
    </row>
    <row r="682" spans="7:11" ht="15" customHeight="1" x14ac:dyDescent="0.35">
      <c r="G682"/>
      <c r="H682"/>
      <c r="I682"/>
      <c r="K682"/>
    </row>
    <row r="683" spans="7:11" ht="15" customHeight="1" x14ac:dyDescent="0.35">
      <c r="G683"/>
      <c r="H683"/>
      <c r="I683"/>
      <c r="K683"/>
    </row>
    <row r="684" spans="7:11" ht="15" customHeight="1" x14ac:dyDescent="0.35">
      <c r="G684"/>
      <c r="H684"/>
      <c r="I684"/>
      <c r="K684"/>
    </row>
    <row r="685" spans="7:11" ht="15" customHeight="1" x14ac:dyDescent="0.35">
      <c r="G685"/>
      <c r="H685"/>
      <c r="I685"/>
      <c r="K685"/>
    </row>
    <row r="686" spans="7:11" ht="15" customHeight="1" x14ac:dyDescent="0.35">
      <c r="G686"/>
      <c r="H686"/>
      <c r="I686"/>
      <c r="K686"/>
    </row>
    <row r="687" spans="7:11" ht="15" customHeight="1" x14ac:dyDescent="0.35">
      <c r="G687"/>
      <c r="H687"/>
      <c r="I687"/>
      <c r="K687"/>
    </row>
    <row r="688" spans="7:11" ht="15" customHeight="1" x14ac:dyDescent="0.35">
      <c r="G688"/>
      <c r="H688"/>
      <c r="I688"/>
      <c r="K688"/>
    </row>
    <row r="689" spans="7:11" ht="15" customHeight="1" x14ac:dyDescent="0.35">
      <c r="G689"/>
      <c r="H689"/>
      <c r="I689"/>
      <c r="K689"/>
    </row>
    <row r="690" spans="7:11" ht="15" customHeight="1" x14ac:dyDescent="0.35">
      <c r="G690"/>
      <c r="H690"/>
      <c r="I690"/>
      <c r="K690"/>
    </row>
    <row r="691" spans="7:11" ht="15" customHeight="1" x14ac:dyDescent="0.35">
      <c r="G691"/>
      <c r="H691"/>
      <c r="I691"/>
      <c r="K691"/>
    </row>
    <row r="692" spans="7:11" ht="15" customHeight="1" x14ac:dyDescent="0.35">
      <c r="G692"/>
      <c r="H692"/>
      <c r="I692"/>
      <c r="K692"/>
    </row>
    <row r="693" spans="7:11" ht="15" customHeight="1" x14ac:dyDescent="0.35">
      <c r="G693"/>
      <c r="H693"/>
      <c r="I693"/>
      <c r="K693"/>
    </row>
    <row r="694" spans="7:11" ht="15" customHeight="1" x14ac:dyDescent="0.35">
      <c r="G694"/>
      <c r="H694"/>
      <c r="I694"/>
      <c r="K694"/>
    </row>
    <row r="695" spans="7:11" ht="15" customHeight="1" x14ac:dyDescent="0.35">
      <c r="G695"/>
      <c r="H695"/>
      <c r="I695"/>
      <c r="K695"/>
    </row>
    <row r="696" spans="7:11" ht="15" customHeight="1" x14ac:dyDescent="0.35">
      <c r="G696"/>
      <c r="H696"/>
      <c r="I696"/>
      <c r="K696"/>
    </row>
    <row r="697" spans="7:11" ht="15" customHeight="1" x14ac:dyDescent="0.35">
      <c r="G697"/>
      <c r="H697"/>
      <c r="I697"/>
      <c r="K697"/>
    </row>
    <row r="698" spans="7:11" ht="15" customHeight="1" x14ac:dyDescent="0.35">
      <c r="G698"/>
      <c r="H698"/>
      <c r="I698"/>
      <c r="K698"/>
    </row>
    <row r="699" spans="7:11" ht="15" customHeight="1" x14ac:dyDescent="0.35">
      <c r="G699"/>
      <c r="H699"/>
      <c r="I699"/>
      <c r="K699"/>
    </row>
    <row r="700" spans="7:11" ht="15" customHeight="1" x14ac:dyDescent="0.35">
      <c r="G700"/>
      <c r="H700"/>
      <c r="I700"/>
      <c r="K700"/>
    </row>
    <row r="701" spans="7:11" ht="15" customHeight="1" x14ac:dyDescent="0.35">
      <c r="G701"/>
      <c r="H701"/>
      <c r="I701"/>
      <c r="K701"/>
    </row>
    <row r="702" spans="7:11" ht="15" customHeight="1" x14ac:dyDescent="0.35">
      <c r="G702"/>
      <c r="H702"/>
      <c r="I702"/>
      <c r="K702"/>
    </row>
    <row r="703" spans="7:11" ht="15" customHeight="1" x14ac:dyDescent="0.35">
      <c r="G703"/>
      <c r="H703"/>
      <c r="I703"/>
      <c r="K703"/>
    </row>
    <row r="704" spans="7:11" ht="15" customHeight="1" x14ac:dyDescent="0.35">
      <c r="G704"/>
      <c r="H704"/>
      <c r="I704"/>
      <c r="K704"/>
    </row>
    <row r="705" spans="7:11" ht="15" customHeight="1" x14ac:dyDescent="0.35">
      <c r="G705"/>
      <c r="H705"/>
      <c r="I705"/>
      <c r="K705"/>
    </row>
    <row r="706" spans="7:11" ht="15" customHeight="1" x14ac:dyDescent="0.35">
      <c r="G706"/>
      <c r="H706"/>
      <c r="I706"/>
      <c r="K706"/>
    </row>
    <row r="707" spans="7:11" ht="15" customHeight="1" x14ac:dyDescent="0.35">
      <c r="G707"/>
      <c r="H707"/>
      <c r="I707"/>
      <c r="K707"/>
    </row>
    <row r="708" spans="7:11" ht="15" customHeight="1" x14ac:dyDescent="0.35">
      <c r="G708"/>
      <c r="H708"/>
      <c r="I708"/>
      <c r="K708"/>
    </row>
    <row r="709" spans="7:11" ht="15" customHeight="1" x14ac:dyDescent="0.35">
      <c r="G709"/>
      <c r="H709"/>
      <c r="I709"/>
      <c r="K709"/>
    </row>
    <row r="710" spans="7:11" ht="15" customHeight="1" x14ac:dyDescent="0.35">
      <c r="G710"/>
      <c r="H710"/>
      <c r="I710"/>
      <c r="K710"/>
    </row>
    <row r="711" spans="7:11" ht="15" customHeight="1" x14ac:dyDescent="0.35">
      <c r="G711"/>
      <c r="H711"/>
      <c r="I711"/>
      <c r="K711"/>
    </row>
    <row r="712" spans="7:11" ht="15" customHeight="1" x14ac:dyDescent="0.35">
      <c r="G712"/>
      <c r="H712"/>
      <c r="I712"/>
      <c r="K712"/>
    </row>
    <row r="713" spans="7:11" ht="15" customHeight="1" x14ac:dyDescent="0.35">
      <c r="G713"/>
      <c r="H713"/>
      <c r="I713"/>
      <c r="K713"/>
    </row>
    <row r="714" spans="7:11" ht="15" customHeight="1" x14ac:dyDescent="0.35">
      <c r="G714"/>
      <c r="H714"/>
      <c r="I714"/>
      <c r="K714"/>
    </row>
    <row r="715" spans="7:11" ht="15" customHeight="1" x14ac:dyDescent="0.35">
      <c r="G715"/>
      <c r="H715"/>
      <c r="I715"/>
      <c r="K715"/>
    </row>
    <row r="716" spans="7:11" ht="15" customHeight="1" x14ac:dyDescent="0.35">
      <c r="G716"/>
      <c r="H716"/>
      <c r="I716"/>
      <c r="K716"/>
    </row>
    <row r="717" spans="7:11" ht="15" customHeight="1" x14ac:dyDescent="0.35">
      <c r="G717"/>
      <c r="H717"/>
      <c r="I717"/>
      <c r="K717"/>
    </row>
    <row r="718" spans="7:11" ht="15" customHeight="1" x14ac:dyDescent="0.35">
      <c r="G718"/>
      <c r="H718"/>
      <c r="I718"/>
      <c r="K718"/>
    </row>
    <row r="719" spans="7:11" ht="15" customHeight="1" x14ac:dyDescent="0.35">
      <c r="G719"/>
      <c r="H719"/>
      <c r="I719"/>
      <c r="K719"/>
    </row>
    <row r="720" spans="7:11" ht="15" customHeight="1" x14ac:dyDescent="0.35">
      <c r="G720"/>
      <c r="H720"/>
      <c r="I720"/>
      <c r="K720"/>
    </row>
    <row r="721" spans="7:11" ht="15" customHeight="1" x14ac:dyDescent="0.35">
      <c r="G721"/>
      <c r="H721"/>
      <c r="I721"/>
      <c r="K721"/>
    </row>
    <row r="722" spans="7:11" ht="15" customHeight="1" x14ac:dyDescent="0.35">
      <c r="G722"/>
      <c r="H722"/>
      <c r="I722"/>
      <c r="K722"/>
    </row>
    <row r="723" spans="7:11" ht="15" customHeight="1" x14ac:dyDescent="0.35">
      <c r="G723"/>
      <c r="H723"/>
      <c r="I723"/>
      <c r="K723"/>
    </row>
    <row r="724" spans="7:11" ht="15" customHeight="1" x14ac:dyDescent="0.35">
      <c r="G724"/>
      <c r="H724"/>
      <c r="I724"/>
      <c r="K724"/>
    </row>
    <row r="725" spans="7:11" ht="15" customHeight="1" x14ac:dyDescent="0.35">
      <c r="G725"/>
      <c r="H725"/>
      <c r="I725"/>
      <c r="K725"/>
    </row>
    <row r="726" spans="7:11" ht="15" customHeight="1" x14ac:dyDescent="0.35">
      <c r="G726"/>
      <c r="H726"/>
      <c r="I726"/>
      <c r="K726"/>
    </row>
    <row r="727" spans="7:11" ht="15" customHeight="1" x14ac:dyDescent="0.35">
      <c r="G727"/>
      <c r="H727"/>
      <c r="I727"/>
      <c r="K727"/>
    </row>
    <row r="728" spans="7:11" ht="15" customHeight="1" x14ac:dyDescent="0.35">
      <c r="G728"/>
      <c r="H728"/>
      <c r="I728"/>
      <c r="K728"/>
    </row>
    <row r="729" spans="7:11" ht="15" customHeight="1" x14ac:dyDescent="0.35">
      <c r="G729"/>
      <c r="H729"/>
      <c r="I729"/>
      <c r="K729"/>
    </row>
    <row r="730" spans="7:11" ht="15" customHeight="1" x14ac:dyDescent="0.35">
      <c r="G730"/>
      <c r="H730"/>
      <c r="I730"/>
      <c r="K730"/>
    </row>
    <row r="731" spans="7:11" ht="15" customHeight="1" x14ac:dyDescent="0.35">
      <c r="G731"/>
      <c r="H731"/>
      <c r="I731"/>
      <c r="K731"/>
    </row>
    <row r="732" spans="7:11" ht="15" customHeight="1" x14ac:dyDescent="0.35">
      <c r="G732"/>
      <c r="H732"/>
      <c r="I732"/>
      <c r="K732"/>
    </row>
    <row r="733" spans="7:11" ht="15" customHeight="1" x14ac:dyDescent="0.35">
      <c r="G733"/>
      <c r="H733"/>
      <c r="I733"/>
      <c r="K733"/>
    </row>
    <row r="734" spans="7:11" ht="15" customHeight="1" x14ac:dyDescent="0.35">
      <c r="G734"/>
      <c r="H734"/>
      <c r="I734"/>
      <c r="K734"/>
    </row>
    <row r="735" spans="7:11" ht="15" customHeight="1" x14ac:dyDescent="0.35">
      <c r="G735"/>
      <c r="H735"/>
      <c r="I735"/>
      <c r="K735"/>
    </row>
    <row r="736" spans="7:11" ht="15" customHeight="1" x14ac:dyDescent="0.35">
      <c r="G736"/>
      <c r="H736"/>
      <c r="I736"/>
      <c r="K736"/>
    </row>
    <row r="737" spans="7:11" ht="15" customHeight="1" x14ac:dyDescent="0.35">
      <c r="G737"/>
      <c r="H737"/>
      <c r="I737"/>
      <c r="K737"/>
    </row>
    <row r="738" spans="7:11" ht="15" customHeight="1" x14ac:dyDescent="0.35">
      <c r="G738"/>
      <c r="H738"/>
      <c r="I738"/>
      <c r="K738"/>
    </row>
    <row r="739" spans="7:11" ht="15" customHeight="1" x14ac:dyDescent="0.35">
      <c r="G739"/>
      <c r="H739"/>
      <c r="I739"/>
      <c r="K739"/>
    </row>
    <row r="740" spans="7:11" ht="15" customHeight="1" x14ac:dyDescent="0.35">
      <c r="G740"/>
      <c r="H740"/>
      <c r="I740"/>
      <c r="K740"/>
    </row>
    <row r="741" spans="7:11" ht="15" customHeight="1" x14ac:dyDescent="0.35">
      <c r="G741"/>
      <c r="H741"/>
      <c r="I741"/>
      <c r="K741"/>
    </row>
    <row r="742" spans="7:11" ht="15" customHeight="1" x14ac:dyDescent="0.35">
      <c r="G742"/>
      <c r="H742"/>
      <c r="I742"/>
      <c r="K742"/>
    </row>
    <row r="743" spans="7:11" ht="15" customHeight="1" x14ac:dyDescent="0.35">
      <c r="G743"/>
      <c r="H743"/>
      <c r="I743"/>
      <c r="K743"/>
    </row>
    <row r="744" spans="7:11" ht="15" customHeight="1" x14ac:dyDescent="0.35">
      <c r="G744"/>
      <c r="H744"/>
      <c r="I744"/>
      <c r="K744"/>
    </row>
    <row r="745" spans="7:11" ht="15" customHeight="1" x14ac:dyDescent="0.35">
      <c r="G745"/>
      <c r="H745"/>
      <c r="I745"/>
      <c r="K745"/>
    </row>
    <row r="746" spans="7:11" ht="15" customHeight="1" x14ac:dyDescent="0.35">
      <c r="G746"/>
      <c r="H746"/>
      <c r="I746"/>
      <c r="K746"/>
    </row>
    <row r="747" spans="7:11" ht="15" customHeight="1" x14ac:dyDescent="0.35">
      <c r="G747"/>
      <c r="H747"/>
      <c r="I747"/>
      <c r="K747"/>
    </row>
    <row r="748" spans="7:11" ht="15" customHeight="1" x14ac:dyDescent="0.35">
      <c r="G748"/>
      <c r="H748"/>
      <c r="I748"/>
      <c r="K748"/>
    </row>
    <row r="749" spans="7:11" ht="15" customHeight="1" x14ac:dyDescent="0.35">
      <c r="G749"/>
      <c r="H749"/>
      <c r="I749"/>
      <c r="K749"/>
    </row>
    <row r="750" spans="7:11" ht="15" customHeight="1" x14ac:dyDescent="0.35">
      <c r="G750"/>
      <c r="H750"/>
      <c r="I750"/>
      <c r="K750"/>
    </row>
    <row r="751" spans="7:11" ht="15" customHeight="1" x14ac:dyDescent="0.35">
      <c r="G751"/>
      <c r="H751"/>
      <c r="I751"/>
      <c r="K751"/>
    </row>
    <row r="752" spans="7:11" ht="15" customHeight="1" x14ac:dyDescent="0.35">
      <c r="G752"/>
      <c r="H752"/>
      <c r="I752"/>
      <c r="K752"/>
    </row>
    <row r="753" spans="7:11" ht="15" customHeight="1" x14ac:dyDescent="0.35">
      <c r="G753"/>
      <c r="H753"/>
      <c r="I753"/>
      <c r="K753"/>
    </row>
    <row r="754" spans="7:11" ht="15" customHeight="1" x14ac:dyDescent="0.35">
      <c r="G754"/>
      <c r="H754"/>
      <c r="I754"/>
      <c r="K754"/>
    </row>
    <row r="755" spans="7:11" ht="15" customHeight="1" x14ac:dyDescent="0.35">
      <c r="G755"/>
      <c r="H755"/>
      <c r="I755"/>
      <c r="K755"/>
    </row>
    <row r="756" spans="7:11" ht="15" customHeight="1" x14ac:dyDescent="0.35">
      <c r="G756"/>
      <c r="H756"/>
      <c r="I756"/>
      <c r="K756"/>
    </row>
    <row r="757" spans="7:11" ht="15" customHeight="1" x14ac:dyDescent="0.35">
      <c r="G757"/>
      <c r="H757"/>
      <c r="I757"/>
      <c r="K757"/>
    </row>
    <row r="758" spans="7:11" ht="15" customHeight="1" x14ac:dyDescent="0.35">
      <c r="G758"/>
      <c r="H758"/>
      <c r="I758"/>
      <c r="K758"/>
    </row>
    <row r="759" spans="7:11" ht="15" customHeight="1" x14ac:dyDescent="0.35">
      <c r="G759"/>
      <c r="H759"/>
      <c r="I759"/>
      <c r="K759"/>
    </row>
    <row r="760" spans="7:11" ht="15" customHeight="1" x14ac:dyDescent="0.35">
      <c r="G760"/>
      <c r="H760"/>
      <c r="I760"/>
      <c r="K760"/>
    </row>
    <row r="761" spans="7:11" ht="15" customHeight="1" x14ac:dyDescent="0.35">
      <c r="G761"/>
      <c r="H761"/>
      <c r="I761"/>
      <c r="K761"/>
    </row>
    <row r="762" spans="7:11" ht="15" customHeight="1" x14ac:dyDescent="0.35">
      <c r="G762"/>
      <c r="H762"/>
      <c r="I762"/>
      <c r="K762"/>
    </row>
    <row r="763" spans="7:11" ht="15" customHeight="1" x14ac:dyDescent="0.35">
      <c r="G763"/>
      <c r="H763"/>
      <c r="I763"/>
      <c r="K763"/>
    </row>
    <row r="764" spans="7:11" ht="15" customHeight="1" x14ac:dyDescent="0.35">
      <c r="G764"/>
      <c r="H764"/>
      <c r="I764"/>
      <c r="K764"/>
    </row>
    <row r="765" spans="7:11" ht="15" customHeight="1" x14ac:dyDescent="0.35">
      <c r="G765"/>
      <c r="H765"/>
      <c r="I765"/>
      <c r="K765"/>
    </row>
    <row r="766" spans="7:11" ht="15" customHeight="1" x14ac:dyDescent="0.35">
      <c r="G766"/>
      <c r="H766"/>
      <c r="I766"/>
      <c r="K766"/>
    </row>
    <row r="767" spans="7:11" ht="15" customHeight="1" x14ac:dyDescent="0.35">
      <c r="G767"/>
      <c r="H767"/>
      <c r="I767"/>
      <c r="K767"/>
    </row>
    <row r="768" spans="7:11" ht="15" customHeight="1" x14ac:dyDescent="0.35">
      <c r="G768"/>
      <c r="H768"/>
      <c r="I768"/>
      <c r="K768"/>
    </row>
    <row r="769" spans="7:11" ht="15" customHeight="1" x14ac:dyDescent="0.35">
      <c r="G769"/>
      <c r="H769"/>
      <c r="I769"/>
      <c r="K769"/>
    </row>
    <row r="770" spans="7:11" ht="15" customHeight="1" x14ac:dyDescent="0.35">
      <c r="G770"/>
      <c r="H770"/>
      <c r="I770"/>
      <c r="K770"/>
    </row>
    <row r="771" spans="7:11" ht="15" customHeight="1" x14ac:dyDescent="0.35">
      <c r="G771"/>
      <c r="H771"/>
      <c r="I771"/>
      <c r="K771"/>
    </row>
    <row r="772" spans="7:11" ht="15" customHeight="1" x14ac:dyDescent="0.35">
      <c r="G772"/>
      <c r="H772"/>
      <c r="I772"/>
      <c r="K772"/>
    </row>
    <row r="773" spans="7:11" ht="15" customHeight="1" x14ac:dyDescent="0.35">
      <c r="G773"/>
      <c r="H773"/>
      <c r="I773"/>
      <c r="K773"/>
    </row>
    <row r="774" spans="7:11" ht="15" customHeight="1" x14ac:dyDescent="0.35">
      <c r="G774"/>
      <c r="H774"/>
      <c r="I774"/>
      <c r="K774"/>
    </row>
    <row r="775" spans="7:11" ht="15" customHeight="1" x14ac:dyDescent="0.35">
      <c r="G775"/>
      <c r="H775"/>
      <c r="I775"/>
      <c r="K775"/>
    </row>
    <row r="776" spans="7:11" ht="15" customHeight="1" x14ac:dyDescent="0.35">
      <c r="G776"/>
      <c r="H776"/>
      <c r="I776"/>
      <c r="K776"/>
    </row>
    <row r="777" spans="7:11" ht="15" customHeight="1" x14ac:dyDescent="0.35">
      <c r="G777"/>
      <c r="H777"/>
      <c r="I777"/>
      <c r="K777"/>
    </row>
    <row r="778" spans="7:11" ht="15" customHeight="1" x14ac:dyDescent="0.35">
      <c r="G778"/>
      <c r="H778"/>
      <c r="I778"/>
      <c r="K778"/>
    </row>
    <row r="779" spans="7:11" ht="15" customHeight="1" x14ac:dyDescent="0.35">
      <c r="G779"/>
      <c r="H779"/>
      <c r="I779"/>
      <c r="K779"/>
    </row>
    <row r="780" spans="7:11" ht="15" customHeight="1" x14ac:dyDescent="0.35">
      <c r="G780"/>
      <c r="H780"/>
      <c r="I780"/>
      <c r="K780"/>
    </row>
    <row r="781" spans="7:11" ht="15" customHeight="1" x14ac:dyDescent="0.35">
      <c r="G781"/>
      <c r="H781"/>
      <c r="I781"/>
      <c r="K781"/>
    </row>
    <row r="782" spans="7:11" ht="15" customHeight="1" x14ac:dyDescent="0.35">
      <c r="G782"/>
      <c r="H782"/>
      <c r="I782"/>
      <c r="K782"/>
    </row>
    <row r="783" spans="7:11" ht="15" customHeight="1" x14ac:dyDescent="0.35">
      <c r="G783"/>
      <c r="H783"/>
      <c r="I783"/>
      <c r="K783"/>
    </row>
    <row r="784" spans="7:11" ht="15" customHeight="1" x14ac:dyDescent="0.35">
      <c r="G784"/>
      <c r="H784"/>
      <c r="I784"/>
      <c r="K784"/>
    </row>
    <row r="785" spans="7:11" ht="15" customHeight="1" x14ac:dyDescent="0.35">
      <c r="G785"/>
      <c r="H785"/>
      <c r="I785"/>
      <c r="K785"/>
    </row>
    <row r="786" spans="7:11" ht="15" customHeight="1" x14ac:dyDescent="0.35">
      <c r="G786"/>
      <c r="H786"/>
      <c r="I786"/>
      <c r="K786"/>
    </row>
    <row r="787" spans="7:11" ht="15" customHeight="1" x14ac:dyDescent="0.35">
      <c r="G787"/>
      <c r="H787"/>
      <c r="I787"/>
      <c r="K787"/>
    </row>
    <row r="788" spans="7:11" ht="15" customHeight="1" x14ac:dyDescent="0.35">
      <c r="G788"/>
      <c r="H788"/>
      <c r="I788"/>
      <c r="K788"/>
    </row>
    <row r="789" spans="7:11" ht="15" customHeight="1" x14ac:dyDescent="0.35">
      <c r="G789"/>
      <c r="H789"/>
      <c r="I789"/>
      <c r="K789"/>
    </row>
    <row r="790" spans="7:11" ht="15" customHeight="1" x14ac:dyDescent="0.35">
      <c r="G790"/>
      <c r="H790"/>
      <c r="I790"/>
      <c r="K790"/>
    </row>
    <row r="791" spans="7:11" ht="15" customHeight="1" x14ac:dyDescent="0.35">
      <c r="G791"/>
      <c r="H791"/>
      <c r="I791"/>
      <c r="K791"/>
    </row>
    <row r="792" spans="7:11" ht="15" customHeight="1" x14ac:dyDescent="0.35">
      <c r="G792"/>
      <c r="H792"/>
      <c r="I792"/>
      <c r="K792"/>
    </row>
    <row r="793" spans="7:11" ht="15" customHeight="1" x14ac:dyDescent="0.35">
      <c r="G793"/>
      <c r="H793"/>
      <c r="I793"/>
      <c r="K793"/>
    </row>
    <row r="794" spans="7:11" ht="15" customHeight="1" x14ac:dyDescent="0.35">
      <c r="G794"/>
      <c r="H794"/>
      <c r="I794"/>
      <c r="K794"/>
    </row>
    <row r="795" spans="7:11" ht="15" customHeight="1" x14ac:dyDescent="0.35">
      <c r="G795"/>
      <c r="H795"/>
      <c r="I795"/>
      <c r="K795"/>
    </row>
    <row r="796" spans="7:11" ht="15" customHeight="1" x14ac:dyDescent="0.35">
      <c r="G796"/>
      <c r="H796"/>
      <c r="I796"/>
      <c r="K796"/>
    </row>
    <row r="797" spans="7:11" ht="15" customHeight="1" x14ac:dyDescent="0.35">
      <c r="G797"/>
      <c r="H797"/>
      <c r="I797"/>
      <c r="K797"/>
    </row>
    <row r="798" spans="7:11" ht="15" customHeight="1" x14ac:dyDescent="0.35">
      <c r="G798"/>
      <c r="H798"/>
      <c r="I798"/>
      <c r="K798"/>
    </row>
    <row r="799" spans="7:11" ht="15" customHeight="1" x14ac:dyDescent="0.35">
      <c r="G799"/>
      <c r="H799"/>
      <c r="I799"/>
      <c r="K799"/>
    </row>
    <row r="800" spans="7:11" ht="15" customHeight="1" x14ac:dyDescent="0.35">
      <c r="G800"/>
      <c r="H800"/>
      <c r="I800"/>
      <c r="K800"/>
    </row>
    <row r="801" spans="7:11" ht="15" customHeight="1" x14ac:dyDescent="0.35">
      <c r="G801"/>
      <c r="H801"/>
      <c r="I801"/>
      <c r="K801"/>
    </row>
    <row r="802" spans="7:11" ht="15" customHeight="1" x14ac:dyDescent="0.35">
      <c r="G802"/>
      <c r="H802"/>
      <c r="I802"/>
      <c r="K802"/>
    </row>
    <row r="803" spans="7:11" ht="15" customHeight="1" x14ac:dyDescent="0.35">
      <c r="G803"/>
      <c r="H803"/>
      <c r="I803"/>
      <c r="K803"/>
    </row>
    <row r="804" spans="7:11" ht="15" customHeight="1" x14ac:dyDescent="0.35">
      <c r="G804"/>
      <c r="H804"/>
      <c r="I804"/>
      <c r="K804"/>
    </row>
    <row r="805" spans="7:11" ht="15" customHeight="1" x14ac:dyDescent="0.35">
      <c r="G805"/>
      <c r="H805"/>
      <c r="I805"/>
      <c r="K805"/>
    </row>
    <row r="806" spans="7:11" ht="15" customHeight="1" x14ac:dyDescent="0.35">
      <c r="G806"/>
      <c r="H806"/>
      <c r="I806"/>
      <c r="K806"/>
    </row>
    <row r="807" spans="7:11" ht="15" customHeight="1" x14ac:dyDescent="0.35">
      <c r="G807"/>
      <c r="H807"/>
      <c r="I807"/>
      <c r="K807"/>
    </row>
    <row r="808" spans="7:11" ht="15" customHeight="1" x14ac:dyDescent="0.35">
      <c r="G808"/>
      <c r="H808"/>
      <c r="I808"/>
      <c r="K808"/>
    </row>
    <row r="809" spans="7:11" ht="15" customHeight="1" x14ac:dyDescent="0.35">
      <c r="G809"/>
      <c r="H809"/>
      <c r="I809"/>
      <c r="K809"/>
    </row>
    <row r="810" spans="7:11" ht="15" customHeight="1" x14ac:dyDescent="0.35">
      <c r="G810"/>
      <c r="H810"/>
      <c r="I810"/>
      <c r="K810"/>
    </row>
    <row r="811" spans="7:11" ht="15" customHeight="1" x14ac:dyDescent="0.35">
      <c r="G811"/>
      <c r="H811"/>
      <c r="I811"/>
      <c r="K811"/>
    </row>
    <row r="812" spans="7:11" ht="15" customHeight="1" x14ac:dyDescent="0.35">
      <c r="G812"/>
      <c r="H812"/>
      <c r="I812"/>
      <c r="K812"/>
    </row>
    <row r="813" spans="7:11" ht="15" customHeight="1" x14ac:dyDescent="0.35">
      <c r="G813"/>
      <c r="H813"/>
      <c r="I813"/>
      <c r="K813"/>
    </row>
    <row r="814" spans="7:11" ht="15" customHeight="1" x14ac:dyDescent="0.35">
      <c r="G814"/>
      <c r="H814"/>
      <c r="I814"/>
      <c r="K814"/>
    </row>
    <row r="815" spans="7:11" ht="15" customHeight="1" x14ac:dyDescent="0.35">
      <c r="G815"/>
      <c r="H815"/>
      <c r="I815"/>
      <c r="K815"/>
    </row>
    <row r="816" spans="7:11" ht="15" customHeight="1" x14ac:dyDescent="0.35">
      <c r="G816"/>
      <c r="H816"/>
      <c r="I816"/>
      <c r="K816"/>
    </row>
    <row r="817" spans="7:11" ht="15" customHeight="1" x14ac:dyDescent="0.35">
      <c r="G817"/>
      <c r="H817"/>
      <c r="I817"/>
      <c r="K817"/>
    </row>
    <row r="818" spans="7:11" ht="15" customHeight="1" x14ac:dyDescent="0.35">
      <c r="G818"/>
      <c r="H818"/>
      <c r="I818"/>
      <c r="K818"/>
    </row>
    <row r="819" spans="7:11" ht="15" customHeight="1" x14ac:dyDescent="0.35">
      <c r="G819"/>
      <c r="H819"/>
      <c r="I819"/>
      <c r="K819"/>
    </row>
    <row r="820" spans="7:11" ht="15" customHeight="1" x14ac:dyDescent="0.35">
      <c r="G820"/>
      <c r="H820"/>
      <c r="I820"/>
      <c r="K820"/>
    </row>
    <row r="821" spans="7:11" ht="15" customHeight="1" x14ac:dyDescent="0.35">
      <c r="G821"/>
      <c r="H821"/>
      <c r="I821"/>
      <c r="K821"/>
    </row>
    <row r="822" spans="7:11" ht="15" customHeight="1" x14ac:dyDescent="0.35">
      <c r="G822"/>
      <c r="H822"/>
      <c r="I822"/>
      <c r="K822"/>
    </row>
    <row r="823" spans="7:11" ht="15" customHeight="1" x14ac:dyDescent="0.35">
      <c r="G823"/>
      <c r="H823"/>
      <c r="I823"/>
      <c r="K823"/>
    </row>
    <row r="824" spans="7:11" ht="15" customHeight="1" x14ac:dyDescent="0.35">
      <c r="G824"/>
      <c r="H824"/>
      <c r="I824"/>
      <c r="K824"/>
    </row>
    <row r="825" spans="7:11" ht="15" customHeight="1" x14ac:dyDescent="0.35">
      <c r="G825"/>
      <c r="H825"/>
      <c r="I825"/>
      <c r="K825"/>
    </row>
    <row r="826" spans="7:11" ht="15" customHeight="1" x14ac:dyDescent="0.35">
      <c r="G826"/>
      <c r="H826"/>
      <c r="I826"/>
      <c r="K826"/>
    </row>
    <row r="827" spans="7:11" ht="15" customHeight="1" x14ac:dyDescent="0.35">
      <c r="G827"/>
      <c r="H827"/>
      <c r="I827"/>
      <c r="K827"/>
    </row>
    <row r="828" spans="7:11" ht="15" customHeight="1" x14ac:dyDescent="0.35">
      <c r="G828"/>
      <c r="H828"/>
      <c r="I828"/>
      <c r="K828"/>
    </row>
    <row r="829" spans="7:11" ht="15" customHeight="1" x14ac:dyDescent="0.35">
      <c r="G829"/>
      <c r="H829"/>
      <c r="I829"/>
      <c r="K829"/>
    </row>
    <row r="830" spans="7:11" ht="15" customHeight="1" x14ac:dyDescent="0.35">
      <c r="G830"/>
      <c r="H830"/>
      <c r="I830"/>
      <c r="K830"/>
    </row>
    <row r="831" spans="7:11" ht="15" customHeight="1" x14ac:dyDescent="0.35">
      <c r="G831"/>
      <c r="H831"/>
      <c r="I831"/>
      <c r="K831"/>
    </row>
    <row r="832" spans="7:11" ht="15" customHeight="1" x14ac:dyDescent="0.35">
      <c r="G832"/>
      <c r="H832"/>
      <c r="I832"/>
      <c r="K832"/>
    </row>
    <row r="833" spans="7:11" ht="15" customHeight="1" x14ac:dyDescent="0.35">
      <c r="G833"/>
      <c r="H833"/>
      <c r="I833"/>
      <c r="K833"/>
    </row>
    <row r="834" spans="7:11" ht="15" customHeight="1" x14ac:dyDescent="0.35">
      <c r="G834"/>
      <c r="H834"/>
      <c r="I834"/>
      <c r="K834"/>
    </row>
    <row r="835" spans="7:11" ht="15" customHeight="1" x14ac:dyDescent="0.35">
      <c r="G835"/>
      <c r="H835"/>
      <c r="I835"/>
      <c r="K835"/>
    </row>
    <row r="836" spans="7:11" ht="15" customHeight="1" x14ac:dyDescent="0.35">
      <c r="G836"/>
      <c r="H836"/>
      <c r="I836"/>
      <c r="K836"/>
    </row>
    <row r="837" spans="7:11" ht="15" customHeight="1" x14ac:dyDescent="0.35">
      <c r="G837"/>
      <c r="H837"/>
      <c r="I837"/>
      <c r="K837"/>
    </row>
    <row r="838" spans="7:11" ht="15" customHeight="1" x14ac:dyDescent="0.35">
      <c r="G838"/>
      <c r="H838"/>
      <c r="I838"/>
      <c r="K838"/>
    </row>
    <row r="839" spans="7:11" ht="15" customHeight="1" x14ac:dyDescent="0.35">
      <c r="G839"/>
      <c r="H839"/>
      <c r="I839"/>
      <c r="K839"/>
    </row>
    <row r="840" spans="7:11" ht="15" customHeight="1" x14ac:dyDescent="0.35">
      <c r="G840"/>
      <c r="H840"/>
      <c r="I840"/>
      <c r="K840"/>
    </row>
    <row r="841" spans="7:11" ht="15" customHeight="1" x14ac:dyDescent="0.35">
      <c r="G841"/>
      <c r="H841"/>
      <c r="I841"/>
      <c r="K841"/>
    </row>
    <row r="842" spans="7:11" ht="15" customHeight="1" x14ac:dyDescent="0.35">
      <c r="G842"/>
      <c r="H842"/>
      <c r="I842"/>
      <c r="K842"/>
    </row>
    <row r="843" spans="7:11" ht="15" customHeight="1" x14ac:dyDescent="0.35">
      <c r="G843"/>
      <c r="H843"/>
      <c r="I843"/>
      <c r="K843"/>
    </row>
    <row r="844" spans="7:11" ht="15" customHeight="1" x14ac:dyDescent="0.35">
      <c r="G844"/>
      <c r="H844"/>
      <c r="I844"/>
      <c r="K844"/>
    </row>
    <row r="845" spans="7:11" ht="15" customHeight="1" x14ac:dyDescent="0.35">
      <c r="G845"/>
      <c r="H845"/>
      <c r="I845"/>
      <c r="K845"/>
    </row>
    <row r="846" spans="7:11" ht="15" customHeight="1" x14ac:dyDescent="0.35">
      <c r="G846"/>
      <c r="H846"/>
      <c r="I846"/>
      <c r="K846"/>
    </row>
    <row r="847" spans="7:11" ht="15" customHeight="1" x14ac:dyDescent="0.35">
      <c r="G847"/>
      <c r="H847"/>
      <c r="I847"/>
      <c r="K847"/>
    </row>
    <row r="848" spans="7:11" ht="15" customHeight="1" x14ac:dyDescent="0.35">
      <c r="G848"/>
      <c r="H848"/>
      <c r="I848"/>
      <c r="K848"/>
    </row>
    <row r="849" spans="7:11" ht="15" customHeight="1" x14ac:dyDescent="0.35">
      <c r="G849"/>
      <c r="H849"/>
      <c r="I849"/>
      <c r="K849"/>
    </row>
    <row r="850" spans="7:11" ht="15" customHeight="1" x14ac:dyDescent="0.35">
      <c r="G850"/>
      <c r="H850"/>
      <c r="I850"/>
      <c r="K850"/>
    </row>
    <row r="851" spans="7:11" ht="15" customHeight="1" x14ac:dyDescent="0.35">
      <c r="G851"/>
      <c r="H851"/>
      <c r="I851"/>
      <c r="K851"/>
    </row>
    <row r="852" spans="7:11" ht="15" customHeight="1" x14ac:dyDescent="0.35">
      <c r="G852"/>
      <c r="H852"/>
      <c r="I852"/>
      <c r="K852"/>
    </row>
    <row r="853" spans="7:11" ht="15" customHeight="1" x14ac:dyDescent="0.35">
      <c r="G853"/>
      <c r="H853"/>
      <c r="I853"/>
      <c r="K853"/>
    </row>
    <row r="854" spans="7:11" ht="15" customHeight="1" x14ac:dyDescent="0.35">
      <c r="G854"/>
      <c r="H854"/>
      <c r="I854"/>
      <c r="K854"/>
    </row>
    <row r="855" spans="7:11" ht="15" customHeight="1" x14ac:dyDescent="0.35">
      <c r="G855"/>
      <c r="H855"/>
      <c r="I855"/>
      <c r="K855"/>
    </row>
    <row r="856" spans="7:11" ht="15" customHeight="1" x14ac:dyDescent="0.35">
      <c r="G856"/>
      <c r="H856"/>
      <c r="I856"/>
      <c r="K856"/>
    </row>
    <row r="857" spans="7:11" ht="15" customHeight="1" x14ac:dyDescent="0.35">
      <c r="G857"/>
      <c r="H857"/>
      <c r="I857"/>
      <c r="K857"/>
    </row>
    <row r="858" spans="7:11" ht="15" customHeight="1" x14ac:dyDescent="0.35">
      <c r="G858"/>
      <c r="H858"/>
      <c r="I858"/>
      <c r="K858"/>
    </row>
    <row r="859" spans="7:11" ht="15" customHeight="1" x14ac:dyDescent="0.35">
      <c r="G859"/>
      <c r="H859"/>
      <c r="I859"/>
      <c r="K859"/>
    </row>
    <row r="860" spans="7:11" ht="15" customHeight="1" x14ac:dyDescent="0.35">
      <c r="G860"/>
      <c r="H860"/>
      <c r="I860"/>
      <c r="K860"/>
    </row>
    <row r="861" spans="7:11" ht="15" customHeight="1" x14ac:dyDescent="0.35">
      <c r="G861"/>
      <c r="H861"/>
      <c r="I861"/>
      <c r="K861"/>
    </row>
    <row r="862" spans="7:11" ht="15" customHeight="1" x14ac:dyDescent="0.35">
      <c r="G862"/>
      <c r="H862"/>
      <c r="I862"/>
      <c r="K862"/>
    </row>
    <row r="863" spans="7:11" ht="15" customHeight="1" x14ac:dyDescent="0.35">
      <c r="G863"/>
      <c r="H863"/>
      <c r="I863"/>
      <c r="K863"/>
    </row>
    <row r="864" spans="7:11" ht="15" customHeight="1" x14ac:dyDescent="0.35">
      <c r="G864"/>
      <c r="H864"/>
      <c r="I864"/>
      <c r="K864"/>
    </row>
    <row r="865" spans="7:11" ht="15" customHeight="1" x14ac:dyDescent="0.35">
      <c r="G865"/>
      <c r="H865"/>
      <c r="I865"/>
      <c r="K865"/>
    </row>
    <row r="866" spans="7:11" ht="15" customHeight="1" x14ac:dyDescent="0.35">
      <c r="G866"/>
      <c r="H866"/>
      <c r="I866"/>
      <c r="K866"/>
    </row>
    <row r="867" spans="7:11" ht="15" customHeight="1" x14ac:dyDescent="0.35">
      <c r="G867"/>
      <c r="H867"/>
      <c r="I867"/>
      <c r="K867"/>
    </row>
    <row r="868" spans="7:11" ht="15" customHeight="1" x14ac:dyDescent="0.35">
      <c r="G868"/>
      <c r="H868"/>
      <c r="I868"/>
      <c r="K868"/>
    </row>
    <row r="869" spans="7:11" ht="15" customHeight="1" x14ac:dyDescent="0.35">
      <c r="G869"/>
      <c r="H869"/>
      <c r="I869"/>
      <c r="K869"/>
    </row>
    <row r="870" spans="7:11" ht="15" customHeight="1" x14ac:dyDescent="0.35">
      <c r="G870"/>
      <c r="H870"/>
      <c r="I870"/>
      <c r="K870"/>
    </row>
    <row r="871" spans="7:11" ht="15" customHeight="1" x14ac:dyDescent="0.35">
      <c r="G871"/>
      <c r="H871"/>
      <c r="I871"/>
      <c r="K871"/>
    </row>
    <row r="872" spans="7:11" ht="15" customHeight="1" x14ac:dyDescent="0.35">
      <c r="G872"/>
      <c r="H872"/>
      <c r="I872"/>
      <c r="K872"/>
    </row>
    <row r="873" spans="7:11" ht="15" customHeight="1" x14ac:dyDescent="0.35">
      <c r="G873"/>
      <c r="H873"/>
      <c r="I873"/>
      <c r="K873"/>
    </row>
    <row r="874" spans="7:11" ht="15" customHeight="1" x14ac:dyDescent="0.35">
      <c r="G874"/>
      <c r="H874"/>
      <c r="I874"/>
      <c r="K874"/>
    </row>
    <row r="875" spans="7:11" ht="15" customHeight="1" x14ac:dyDescent="0.35">
      <c r="G875"/>
      <c r="H875"/>
      <c r="I875"/>
      <c r="K875"/>
    </row>
    <row r="876" spans="7:11" ht="15" customHeight="1" x14ac:dyDescent="0.35">
      <c r="G876"/>
      <c r="H876"/>
      <c r="I876"/>
      <c r="K876"/>
    </row>
    <row r="877" spans="7:11" ht="15" customHeight="1" x14ac:dyDescent="0.35">
      <c r="G877"/>
      <c r="H877"/>
      <c r="I877"/>
      <c r="K877"/>
    </row>
    <row r="878" spans="7:11" ht="15" customHeight="1" x14ac:dyDescent="0.35">
      <c r="G878"/>
      <c r="H878"/>
      <c r="I878"/>
      <c r="K878"/>
    </row>
    <row r="879" spans="7:11" ht="15" customHeight="1" x14ac:dyDescent="0.35">
      <c r="G879"/>
      <c r="H879"/>
      <c r="I879"/>
      <c r="K879"/>
    </row>
    <row r="880" spans="7:11" ht="15" customHeight="1" x14ac:dyDescent="0.35">
      <c r="G880"/>
      <c r="H880"/>
      <c r="I880"/>
      <c r="K880"/>
    </row>
    <row r="881" spans="7:11" ht="15" customHeight="1" x14ac:dyDescent="0.35">
      <c r="G881"/>
      <c r="H881"/>
      <c r="I881"/>
      <c r="K881"/>
    </row>
    <row r="882" spans="7:11" ht="15" customHeight="1" x14ac:dyDescent="0.35">
      <c r="G882"/>
      <c r="H882"/>
      <c r="I882"/>
      <c r="K882"/>
    </row>
    <row r="883" spans="7:11" ht="15" customHeight="1" x14ac:dyDescent="0.35">
      <c r="G883"/>
      <c r="H883"/>
      <c r="I883"/>
      <c r="K883"/>
    </row>
    <row r="884" spans="7:11" ht="15" customHeight="1" x14ac:dyDescent="0.35">
      <c r="G884"/>
      <c r="H884"/>
      <c r="I884"/>
      <c r="K884"/>
    </row>
    <row r="885" spans="7:11" ht="15" customHeight="1" x14ac:dyDescent="0.35">
      <c r="G885"/>
      <c r="H885"/>
      <c r="I885"/>
      <c r="K885"/>
    </row>
    <row r="886" spans="7:11" ht="15" customHeight="1" x14ac:dyDescent="0.35">
      <c r="G886"/>
      <c r="H886"/>
      <c r="I886"/>
      <c r="K886"/>
    </row>
    <row r="887" spans="7:11" ht="15" customHeight="1" x14ac:dyDescent="0.35">
      <c r="G887"/>
      <c r="H887"/>
      <c r="I887"/>
      <c r="K887"/>
    </row>
    <row r="888" spans="7:11" ht="15" customHeight="1" x14ac:dyDescent="0.35">
      <c r="G888"/>
      <c r="H888"/>
      <c r="I888"/>
      <c r="K888"/>
    </row>
    <row r="889" spans="7:11" ht="15" customHeight="1" x14ac:dyDescent="0.35">
      <c r="G889"/>
      <c r="H889"/>
      <c r="I889"/>
      <c r="K889"/>
    </row>
    <row r="890" spans="7:11" ht="15" customHeight="1" x14ac:dyDescent="0.35">
      <c r="G890"/>
      <c r="H890"/>
      <c r="I890"/>
      <c r="K890"/>
    </row>
    <row r="891" spans="7:11" ht="15" customHeight="1" x14ac:dyDescent="0.35">
      <c r="G891"/>
      <c r="H891"/>
      <c r="I891"/>
      <c r="K891"/>
    </row>
    <row r="892" spans="7:11" ht="15" customHeight="1" x14ac:dyDescent="0.35">
      <c r="G892"/>
      <c r="H892"/>
      <c r="I892"/>
      <c r="K892"/>
    </row>
    <row r="893" spans="7:11" ht="15" customHeight="1" x14ac:dyDescent="0.35">
      <c r="G893"/>
      <c r="H893"/>
      <c r="I893"/>
      <c r="K893"/>
    </row>
    <row r="894" spans="7:11" ht="15" customHeight="1" x14ac:dyDescent="0.35">
      <c r="G894"/>
      <c r="H894"/>
      <c r="I894"/>
      <c r="K894"/>
    </row>
    <row r="895" spans="7:11" ht="15" customHeight="1" x14ac:dyDescent="0.35">
      <c r="G895"/>
      <c r="H895"/>
      <c r="I895"/>
      <c r="K895"/>
    </row>
    <row r="896" spans="7:11" ht="15" customHeight="1" x14ac:dyDescent="0.35">
      <c r="G896"/>
      <c r="H896"/>
      <c r="I896"/>
      <c r="K896"/>
    </row>
    <row r="897" spans="7:11" ht="15" customHeight="1" x14ac:dyDescent="0.35">
      <c r="G897"/>
      <c r="H897"/>
      <c r="I897"/>
      <c r="K897"/>
    </row>
    <row r="898" spans="7:11" ht="15" customHeight="1" x14ac:dyDescent="0.35">
      <c r="G898"/>
      <c r="H898"/>
      <c r="I898"/>
      <c r="K898"/>
    </row>
    <row r="899" spans="7:11" ht="15" customHeight="1" x14ac:dyDescent="0.35">
      <c r="G899"/>
      <c r="H899"/>
      <c r="I899"/>
      <c r="K899"/>
    </row>
    <row r="900" spans="7:11" ht="15" customHeight="1" x14ac:dyDescent="0.35">
      <c r="G900"/>
      <c r="H900"/>
      <c r="I900"/>
      <c r="K900"/>
    </row>
    <row r="901" spans="7:11" ht="15" customHeight="1" x14ac:dyDescent="0.35">
      <c r="G901"/>
      <c r="H901"/>
      <c r="I901"/>
      <c r="K901"/>
    </row>
    <row r="902" spans="7:11" ht="15" customHeight="1" x14ac:dyDescent="0.35">
      <c r="G902"/>
      <c r="H902"/>
      <c r="I902"/>
      <c r="K902"/>
    </row>
    <row r="903" spans="7:11" ht="15" customHeight="1" x14ac:dyDescent="0.35">
      <c r="G903"/>
      <c r="H903"/>
      <c r="I903"/>
      <c r="K903"/>
    </row>
    <row r="904" spans="7:11" ht="15" customHeight="1" x14ac:dyDescent="0.35">
      <c r="G904"/>
      <c r="H904"/>
      <c r="I904"/>
      <c r="K904"/>
    </row>
    <row r="905" spans="7:11" ht="15" customHeight="1" x14ac:dyDescent="0.35">
      <c r="G905"/>
      <c r="H905"/>
      <c r="I905"/>
      <c r="K905"/>
    </row>
    <row r="906" spans="7:11" ht="15" customHeight="1" x14ac:dyDescent="0.35">
      <c r="G906"/>
      <c r="H906"/>
      <c r="I906"/>
      <c r="K906"/>
    </row>
    <row r="907" spans="7:11" ht="15" customHeight="1" x14ac:dyDescent="0.35">
      <c r="G907"/>
      <c r="H907"/>
      <c r="I907"/>
      <c r="K907"/>
    </row>
    <row r="908" spans="7:11" ht="15" customHeight="1" x14ac:dyDescent="0.35">
      <c r="G908"/>
      <c r="H908"/>
      <c r="I908"/>
      <c r="K908"/>
    </row>
    <row r="909" spans="7:11" ht="15" customHeight="1" x14ac:dyDescent="0.35">
      <c r="G909"/>
      <c r="H909"/>
      <c r="I909"/>
      <c r="K909"/>
    </row>
    <row r="910" spans="7:11" ht="15" customHeight="1" x14ac:dyDescent="0.35">
      <c r="G910"/>
      <c r="H910"/>
      <c r="I910"/>
      <c r="K910"/>
    </row>
    <row r="911" spans="7:11" ht="15" customHeight="1" x14ac:dyDescent="0.35">
      <c r="G911"/>
      <c r="H911"/>
      <c r="I911"/>
      <c r="K911"/>
    </row>
    <row r="912" spans="7:11" ht="15" customHeight="1" x14ac:dyDescent="0.35">
      <c r="G912"/>
      <c r="H912"/>
      <c r="I912"/>
      <c r="K912"/>
    </row>
    <row r="913" spans="7:11" ht="15" customHeight="1" x14ac:dyDescent="0.35">
      <c r="G913"/>
      <c r="H913"/>
      <c r="I913"/>
      <c r="K913"/>
    </row>
    <row r="914" spans="7:11" ht="15" customHeight="1" x14ac:dyDescent="0.35">
      <c r="G914"/>
      <c r="H914"/>
      <c r="I914"/>
      <c r="K914"/>
    </row>
    <row r="915" spans="7:11" ht="15" customHeight="1" x14ac:dyDescent="0.35">
      <c r="G915"/>
      <c r="H915"/>
      <c r="I915"/>
      <c r="K915"/>
    </row>
    <row r="916" spans="7:11" ht="15" customHeight="1" x14ac:dyDescent="0.35">
      <c r="G916"/>
      <c r="H916"/>
      <c r="I916"/>
      <c r="K916"/>
    </row>
    <row r="917" spans="7:11" ht="15" customHeight="1" x14ac:dyDescent="0.35">
      <c r="G917"/>
      <c r="H917"/>
      <c r="I917"/>
      <c r="K917"/>
    </row>
    <row r="918" spans="7:11" ht="15" customHeight="1" x14ac:dyDescent="0.35">
      <c r="G918"/>
      <c r="H918"/>
      <c r="I918"/>
      <c r="K918"/>
    </row>
    <row r="919" spans="7:11" ht="15" customHeight="1" x14ac:dyDescent="0.35">
      <c r="G919"/>
      <c r="H919"/>
      <c r="I919"/>
      <c r="K919"/>
    </row>
    <row r="920" spans="7:11" ht="15" customHeight="1" x14ac:dyDescent="0.35">
      <c r="G920"/>
      <c r="H920"/>
      <c r="I920"/>
      <c r="K920"/>
    </row>
    <row r="921" spans="7:11" ht="15" customHeight="1" x14ac:dyDescent="0.35">
      <c r="G921"/>
      <c r="H921"/>
      <c r="I921"/>
      <c r="K921"/>
    </row>
    <row r="922" spans="7:11" ht="15" customHeight="1" x14ac:dyDescent="0.35">
      <c r="G922"/>
      <c r="H922"/>
      <c r="I922"/>
      <c r="K922"/>
    </row>
    <row r="923" spans="7:11" ht="15" customHeight="1" x14ac:dyDescent="0.35">
      <c r="G923"/>
      <c r="H923"/>
      <c r="I923"/>
      <c r="K923"/>
    </row>
    <row r="924" spans="7:11" ht="15" customHeight="1" x14ac:dyDescent="0.35">
      <c r="G924"/>
      <c r="H924"/>
      <c r="I924"/>
      <c r="K924"/>
    </row>
    <row r="925" spans="7:11" ht="15" customHeight="1" x14ac:dyDescent="0.35">
      <c r="G925"/>
      <c r="H925"/>
      <c r="I925"/>
      <c r="K925"/>
    </row>
    <row r="926" spans="7:11" ht="15" customHeight="1" x14ac:dyDescent="0.35">
      <c r="G926"/>
      <c r="H926"/>
      <c r="I926"/>
      <c r="K926"/>
    </row>
    <row r="927" spans="7:11" ht="15" customHeight="1" x14ac:dyDescent="0.35">
      <c r="G927"/>
      <c r="H927"/>
      <c r="I927"/>
      <c r="K927"/>
    </row>
    <row r="928" spans="7:11" ht="15" customHeight="1" x14ac:dyDescent="0.35">
      <c r="G928"/>
      <c r="H928"/>
      <c r="I928"/>
      <c r="K928"/>
    </row>
    <row r="929" spans="7:11" ht="15" customHeight="1" x14ac:dyDescent="0.35">
      <c r="G929"/>
      <c r="H929"/>
      <c r="I929"/>
      <c r="K929"/>
    </row>
    <row r="930" spans="7:11" ht="15" customHeight="1" x14ac:dyDescent="0.35">
      <c r="G930"/>
      <c r="H930"/>
      <c r="I930"/>
      <c r="K930"/>
    </row>
    <row r="931" spans="7:11" ht="15" customHeight="1" x14ac:dyDescent="0.35">
      <c r="G931"/>
      <c r="H931"/>
      <c r="I931"/>
      <c r="K931"/>
    </row>
    <row r="932" spans="7:11" ht="15" customHeight="1" x14ac:dyDescent="0.35">
      <c r="G932"/>
      <c r="H932"/>
      <c r="I932"/>
      <c r="K932"/>
    </row>
    <row r="933" spans="7:11" ht="15" customHeight="1" x14ac:dyDescent="0.35">
      <c r="G933"/>
      <c r="H933"/>
      <c r="I933"/>
      <c r="K933"/>
    </row>
    <row r="934" spans="7:11" ht="15" customHeight="1" x14ac:dyDescent="0.35">
      <c r="G934"/>
      <c r="H934"/>
      <c r="I934"/>
      <c r="K934"/>
    </row>
    <row r="935" spans="7:11" ht="15" customHeight="1" x14ac:dyDescent="0.35">
      <c r="G935"/>
      <c r="H935"/>
      <c r="I935"/>
      <c r="K935"/>
    </row>
    <row r="936" spans="7:11" ht="15" customHeight="1" x14ac:dyDescent="0.35">
      <c r="G936"/>
      <c r="H936"/>
      <c r="I936"/>
      <c r="K936"/>
    </row>
    <row r="937" spans="7:11" ht="15" customHeight="1" x14ac:dyDescent="0.35">
      <c r="G937"/>
      <c r="H937"/>
      <c r="I937"/>
      <c r="K937"/>
    </row>
    <row r="938" spans="7:11" ht="15" customHeight="1" x14ac:dyDescent="0.35">
      <c r="G938"/>
      <c r="H938"/>
      <c r="I938"/>
      <c r="K938"/>
    </row>
    <row r="939" spans="7:11" ht="15" customHeight="1" x14ac:dyDescent="0.35">
      <c r="G939"/>
      <c r="H939"/>
      <c r="I939"/>
      <c r="K939"/>
    </row>
    <row r="940" spans="7:11" ht="15" customHeight="1" x14ac:dyDescent="0.35">
      <c r="G940"/>
      <c r="H940"/>
      <c r="I940"/>
      <c r="K940"/>
    </row>
    <row r="941" spans="7:11" ht="15" customHeight="1" x14ac:dyDescent="0.35">
      <c r="G941"/>
      <c r="H941"/>
      <c r="I941"/>
      <c r="K941"/>
    </row>
    <row r="942" spans="7:11" ht="15" customHeight="1" x14ac:dyDescent="0.35">
      <c r="G942"/>
      <c r="H942"/>
      <c r="I942"/>
      <c r="K942"/>
    </row>
    <row r="943" spans="7:11" ht="15" customHeight="1" x14ac:dyDescent="0.35">
      <c r="G943"/>
      <c r="H943"/>
      <c r="I943"/>
      <c r="K943"/>
    </row>
    <row r="944" spans="7:11" ht="15" customHeight="1" x14ac:dyDescent="0.35">
      <c r="G944"/>
      <c r="H944"/>
      <c r="I944"/>
      <c r="K944"/>
    </row>
    <row r="945" spans="7:11" ht="15" customHeight="1" x14ac:dyDescent="0.35">
      <c r="G945"/>
      <c r="H945"/>
      <c r="I945"/>
      <c r="K945"/>
    </row>
    <row r="946" spans="7:11" ht="15" customHeight="1" x14ac:dyDescent="0.35">
      <c r="G946"/>
      <c r="H946"/>
      <c r="I946"/>
      <c r="K946"/>
    </row>
    <row r="947" spans="7:11" ht="15" customHeight="1" x14ac:dyDescent="0.35">
      <c r="G947"/>
      <c r="H947"/>
      <c r="I947"/>
      <c r="K947"/>
    </row>
    <row r="948" spans="7:11" ht="15" customHeight="1" x14ac:dyDescent="0.35">
      <c r="G948"/>
      <c r="H948"/>
      <c r="I948"/>
      <c r="K948"/>
    </row>
    <row r="949" spans="7:11" ht="15" customHeight="1" x14ac:dyDescent="0.35">
      <c r="G949"/>
      <c r="H949"/>
      <c r="I949"/>
      <c r="K949"/>
    </row>
    <row r="950" spans="7:11" ht="15" customHeight="1" x14ac:dyDescent="0.35">
      <c r="G950"/>
      <c r="H950"/>
      <c r="I950"/>
      <c r="K950"/>
    </row>
    <row r="951" spans="7:11" ht="15" customHeight="1" x14ac:dyDescent="0.35">
      <c r="G951"/>
      <c r="H951"/>
      <c r="I951"/>
      <c r="K951"/>
    </row>
    <row r="952" spans="7:11" ht="15" customHeight="1" x14ac:dyDescent="0.35">
      <c r="G952"/>
      <c r="H952"/>
      <c r="I952"/>
      <c r="K952"/>
    </row>
    <row r="953" spans="7:11" ht="15" customHeight="1" x14ac:dyDescent="0.35">
      <c r="G953"/>
      <c r="H953"/>
      <c r="I953"/>
      <c r="K953"/>
    </row>
    <row r="954" spans="7:11" ht="15" customHeight="1" x14ac:dyDescent="0.35">
      <c r="G954"/>
      <c r="H954"/>
      <c r="I954"/>
      <c r="K954"/>
    </row>
    <row r="955" spans="7:11" ht="15" customHeight="1" x14ac:dyDescent="0.35">
      <c r="G955"/>
      <c r="H955"/>
      <c r="I955"/>
      <c r="K955"/>
    </row>
    <row r="956" spans="7:11" ht="15" customHeight="1" x14ac:dyDescent="0.35">
      <c r="G956"/>
      <c r="H956"/>
      <c r="I956"/>
      <c r="K956"/>
    </row>
    <row r="957" spans="7:11" ht="15" customHeight="1" x14ac:dyDescent="0.35">
      <c r="G957"/>
      <c r="H957"/>
      <c r="I957"/>
      <c r="K957"/>
    </row>
    <row r="958" spans="7:11" ht="15" customHeight="1" x14ac:dyDescent="0.35">
      <c r="G958"/>
      <c r="H958"/>
      <c r="I958"/>
      <c r="K958"/>
    </row>
    <row r="959" spans="7:11" ht="15" customHeight="1" x14ac:dyDescent="0.35">
      <c r="G959"/>
      <c r="H959"/>
      <c r="I959"/>
      <c r="K959"/>
    </row>
    <row r="960" spans="7:11" ht="15" customHeight="1" x14ac:dyDescent="0.35">
      <c r="G960"/>
      <c r="H960"/>
      <c r="I960"/>
      <c r="K960"/>
    </row>
    <row r="961" spans="7:11" ht="15" customHeight="1" x14ac:dyDescent="0.35">
      <c r="G961"/>
      <c r="H961"/>
      <c r="I961"/>
      <c r="K961"/>
    </row>
    <row r="962" spans="7:11" ht="15" customHeight="1" x14ac:dyDescent="0.35">
      <c r="G962"/>
      <c r="H962"/>
      <c r="I962"/>
      <c r="K962"/>
    </row>
    <row r="963" spans="7:11" ht="15" customHeight="1" x14ac:dyDescent="0.35">
      <c r="G963"/>
      <c r="H963"/>
      <c r="I963"/>
      <c r="K963"/>
    </row>
    <row r="964" spans="7:11" ht="15" customHeight="1" x14ac:dyDescent="0.35">
      <c r="G964"/>
      <c r="H964"/>
      <c r="I964"/>
      <c r="K964"/>
    </row>
    <row r="965" spans="7:11" ht="15" customHeight="1" x14ac:dyDescent="0.35">
      <c r="G965"/>
      <c r="H965"/>
      <c r="I965"/>
      <c r="K965"/>
    </row>
    <row r="966" spans="7:11" ht="15" customHeight="1" x14ac:dyDescent="0.35">
      <c r="G966"/>
      <c r="H966"/>
      <c r="I966"/>
      <c r="K966"/>
    </row>
    <row r="967" spans="7:11" ht="15" customHeight="1" x14ac:dyDescent="0.35">
      <c r="G967"/>
      <c r="H967"/>
      <c r="I967"/>
      <c r="K967"/>
    </row>
    <row r="968" spans="7:11" ht="15" customHeight="1" x14ac:dyDescent="0.35">
      <c r="G968"/>
      <c r="H968"/>
      <c r="I968"/>
      <c r="K968"/>
    </row>
    <row r="969" spans="7:11" ht="15" customHeight="1" x14ac:dyDescent="0.35">
      <c r="G969"/>
      <c r="H969"/>
      <c r="I969"/>
      <c r="K969"/>
    </row>
    <row r="970" spans="7:11" ht="15" customHeight="1" x14ac:dyDescent="0.35">
      <c r="G970"/>
      <c r="H970"/>
      <c r="I970"/>
      <c r="K970"/>
    </row>
    <row r="971" spans="7:11" ht="15" customHeight="1" x14ac:dyDescent="0.35">
      <c r="G971"/>
      <c r="H971"/>
      <c r="I971"/>
      <c r="K971"/>
    </row>
    <row r="972" spans="7:11" ht="15" customHeight="1" x14ac:dyDescent="0.35">
      <c r="G972"/>
      <c r="H972"/>
      <c r="I972"/>
      <c r="K972"/>
    </row>
    <row r="973" spans="7:11" ht="15" customHeight="1" x14ac:dyDescent="0.35">
      <c r="G973"/>
      <c r="H973"/>
      <c r="I973"/>
      <c r="K973"/>
    </row>
    <row r="974" spans="7:11" ht="15" customHeight="1" x14ac:dyDescent="0.35">
      <c r="G974"/>
      <c r="H974"/>
      <c r="I974"/>
      <c r="K974"/>
    </row>
    <row r="975" spans="7:11" ht="15" customHeight="1" x14ac:dyDescent="0.35">
      <c r="G975"/>
      <c r="H975"/>
      <c r="I975"/>
      <c r="K975"/>
    </row>
    <row r="976" spans="7:11" ht="15" customHeight="1" x14ac:dyDescent="0.35">
      <c r="G976"/>
      <c r="H976"/>
      <c r="I976"/>
      <c r="K976"/>
    </row>
    <row r="977" spans="7:11" ht="15" customHeight="1" x14ac:dyDescent="0.35">
      <c r="G977"/>
      <c r="H977"/>
      <c r="I977"/>
      <c r="K977"/>
    </row>
    <row r="978" spans="7:11" ht="15" customHeight="1" x14ac:dyDescent="0.35">
      <c r="G978"/>
      <c r="H978"/>
      <c r="I978"/>
      <c r="K978"/>
    </row>
    <row r="979" spans="7:11" ht="15" customHeight="1" x14ac:dyDescent="0.35">
      <c r="G979"/>
      <c r="H979"/>
      <c r="I979"/>
      <c r="K979"/>
    </row>
    <row r="980" spans="7:11" ht="15" customHeight="1" x14ac:dyDescent="0.35">
      <c r="G980"/>
      <c r="H980"/>
      <c r="I980"/>
      <c r="K980"/>
    </row>
    <row r="981" spans="7:11" ht="15" customHeight="1" x14ac:dyDescent="0.35">
      <c r="G981"/>
      <c r="H981"/>
      <c r="I981"/>
      <c r="K981"/>
    </row>
    <row r="982" spans="7:11" ht="15" customHeight="1" x14ac:dyDescent="0.35">
      <c r="G982"/>
      <c r="H982"/>
      <c r="I982"/>
      <c r="K982"/>
    </row>
    <row r="983" spans="7:11" ht="15" customHeight="1" x14ac:dyDescent="0.35">
      <c r="G983"/>
      <c r="H983"/>
      <c r="I983"/>
      <c r="K983"/>
    </row>
    <row r="984" spans="7:11" ht="15" customHeight="1" x14ac:dyDescent="0.35">
      <c r="G984"/>
      <c r="H984"/>
      <c r="I984"/>
      <c r="K984"/>
    </row>
    <row r="985" spans="7:11" ht="15" customHeight="1" x14ac:dyDescent="0.35">
      <c r="G985"/>
      <c r="H985"/>
      <c r="I985"/>
      <c r="K985"/>
    </row>
    <row r="986" spans="7:11" ht="15" customHeight="1" x14ac:dyDescent="0.35">
      <c r="G986"/>
      <c r="H986"/>
      <c r="I986"/>
      <c r="K986"/>
    </row>
    <row r="987" spans="7:11" ht="15" customHeight="1" x14ac:dyDescent="0.35">
      <c r="G987"/>
      <c r="H987"/>
      <c r="I987"/>
      <c r="K987"/>
    </row>
    <row r="988" spans="7:11" ht="15" customHeight="1" x14ac:dyDescent="0.35">
      <c r="G988"/>
      <c r="H988"/>
      <c r="I988"/>
      <c r="K988"/>
    </row>
    <row r="989" spans="7:11" ht="15" customHeight="1" x14ac:dyDescent="0.35">
      <c r="G989"/>
      <c r="H989"/>
      <c r="I989"/>
      <c r="K989"/>
    </row>
    <row r="990" spans="7:11" ht="15" customHeight="1" x14ac:dyDescent="0.35">
      <c r="G990"/>
      <c r="H990"/>
      <c r="I990"/>
      <c r="K990"/>
    </row>
    <row r="991" spans="7:11" ht="15" customHeight="1" x14ac:dyDescent="0.35">
      <c r="G991"/>
      <c r="H991"/>
      <c r="I991"/>
      <c r="K991"/>
    </row>
    <row r="992" spans="7:11" ht="15" customHeight="1" x14ac:dyDescent="0.35">
      <c r="G992"/>
      <c r="H992"/>
      <c r="I992"/>
      <c r="K992"/>
    </row>
    <row r="993" spans="1:11" ht="15" customHeight="1" x14ac:dyDescent="0.35">
      <c r="G993"/>
      <c r="H993"/>
      <c r="I993"/>
      <c r="K993"/>
    </row>
    <row r="994" spans="1:11" ht="15" customHeight="1" x14ac:dyDescent="0.35">
      <c r="G994"/>
      <c r="H994"/>
      <c r="I994"/>
      <c r="K994"/>
    </row>
    <row r="995" spans="1:11" ht="15" customHeight="1" x14ac:dyDescent="0.35">
      <c r="G995"/>
      <c r="H995"/>
      <c r="I995"/>
      <c r="K995"/>
    </row>
    <row r="996" spans="1:11" ht="15" customHeight="1" x14ac:dyDescent="0.35">
      <c r="G996"/>
      <c r="H996"/>
      <c r="I996"/>
      <c r="K996"/>
    </row>
    <row r="997" spans="1:11" ht="15" customHeight="1" x14ac:dyDescent="0.35">
      <c r="G997"/>
      <c r="H997"/>
      <c r="I997"/>
      <c r="K997"/>
    </row>
    <row r="998" spans="1:11" ht="15" customHeight="1" x14ac:dyDescent="0.35">
      <c r="G998"/>
      <c r="H998"/>
      <c r="I998"/>
      <c r="K998"/>
    </row>
    <row r="999" spans="1:11" ht="15" customHeight="1" x14ac:dyDescent="0.35">
      <c r="G999"/>
      <c r="H999"/>
      <c r="I999"/>
      <c r="K999"/>
    </row>
    <row r="1000" spans="1:11" ht="15" customHeight="1" x14ac:dyDescent="0.35">
      <c r="G1000"/>
      <c r="H1000"/>
      <c r="I1000"/>
      <c r="K1000"/>
    </row>
    <row r="1001" spans="1:11" ht="15" customHeight="1" x14ac:dyDescent="0.35">
      <c r="G1001"/>
      <c r="H1001"/>
      <c r="I1001"/>
      <c r="K1001"/>
    </row>
    <row r="1002" spans="1:11" ht="15" customHeight="1" x14ac:dyDescent="0.35">
      <c r="G1002"/>
      <c r="H1002"/>
      <c r="I1002"/>
      <c r="K1002"/>
    </row>
    <row r="1003" spans="1:11" ht="15" customHeight="1" x14ac:dyDescent="0.35">
      <c r="G1003"/>
      <c r="H1003"/>
      <c r="I1003"/>
      <c r="K1003"/>
    </row>
    <row r="1004" spans="1:11" ht="15.75" customHeight="1" x14ac:dyDescent="0.35">
      <c r="A1004" s="62" t="s">
        <v>642</v>
      </c>
      <c r="B1004" s="62"/>
      <c r="C1004" s="62"/>
      <c r="D1004" s="62"/>
      <c r="E1004" s="62"/>
      <c r="F1004" s="62"/>
      <c r="G1004" s="62"/>
      <c r="H1004" s="62"/>
      <c r="I1004" s="62"/>
      <c r="J1004" s="62"/>
      <c r="K1004" s="62"/>
    </row>
  </sheetData>
  <mergeCells count="1">
    <mergeCell ref="A1004:K1004"/>
  </mergeCells>
  <pageMargins left="0.75" right="0.75" top="1" bottom="1" header="0.511811023622047" footer="0.511811023622047"/>
  <pageSetup paperSize="9"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7"/>
  <sheetViews>
    <sheetView zoomScale="64" zoomScaleNormal="100" workbookViewId="0">
      <selection activeCell="AC11" sqref="AC11"/>
    </sheetView>
  </sheetViews>
  <sheetFormatPr defaultColWidth="8.7265625" defaultRowHeight="14.5" x14ac:dyDescent="0.35"/>
  <cols>
    <col min="1" max="1" width="16" customWidth="1"/>
    <col min="2" max="3" width="18" customWidth="1"/>
    <col min="4" max="4" width="14" customWidth="1"/>
    <col min="5" max="5" width="12" customWidth="1"/>
    <col min="6" max="6" width="13" customWidth="1"/>
    <col min="8" max="8" width="14" customWidth="1"/>
    <col min="9" max="9" width="16" customWidth="1"/>
    <col min="10" max="10" width="10" customWidth="1"/>
    <col min="11" max="12" width="14" customWidth="1"/>
  </cols>
  <sheetData>
    <row r="1" spans="1:15" ht="27.75" customHeight="1" x14ac:dyDescent="0.35">
      <c r="A1" s="63" t="s">
        <v>643</v>
      </c>
      <c r="B1" s="63"/>
      <c r="C1" s="63"/>
      <c r="D1" s="63"/>
      <c r="E1" s="63"/>
      <c r="F1" s="63"/>
      <c r="G1" s="63"/>
      <c r="H1" s="63"/>
      <c r="I1" s="63"/>
      <c r="J1" s="63"/>
      <c r="K1" s="63"/>
      <c r="L1" s="63"/>
      <c r="M1" s="63"/>
      <c r="N1" s="63"/>
      <c r="O1" s="63"/>
    </row>
    <row r="3" spans="1:15" ht="19.5" customHeight="1" x14ac:dyDescent="0.35">
      <c r="A3" s="22" t="s">
        <v>644</v>
      </c>
      <c r="H3" s="22" t="s">
        <v>645</v>
      </c>
    </row>
    <row r="4" spans="1:15" ht="19.5" customHeight="1" x14ac:dyDescent="0.35">
      <c r="A4" s="1" t="s">
        <v>2</v>
      </c>
      <c r="B4" s="1" t="s">
        <v>646</v>
      </c>
      <c r="C4" s="1" t="s">
        <v>647</v>
      </c>
      <c r="D4" s="1" t="s">
        <v>648</v>
      </c>
      <c r="E4" s="1" t="s">
        <v>649</v>
      </c>
      <c r="F4" s="1" t="s">
        <v>650</v>
      </c>
      <c r="H4" s="1" t="s">
        <v>4</v>
      </c>
      <c r="I4" s="1" t="s">
        <v>646</v>
      </c>
      <c r="J4" s="1" t="s">
        <v>649</v>
      </c>
      <c r="K4" s="1" t="s">
        <v>651</v>
      </c>
      <c r="L4" s="1" t="s">
        <v>652</v>
      </c>
    </row>
    <row r="5" spans="1:15" ht="15" customHeight="1" x14ac:dyDescent="0.35">
      <c r="A5" s="5" t="s">
        <v>20</v>
      </c>
      <c r="B5" s="6">
        <v>6439552847.6599998</v>
      </c>
      <c r="C5" s="6">
        <v>2510.27</v>
      </c>
      <c r="D5" s="7">
        <v>2559905</v>
      </c>
      <c r="E5" s="7">
        <v>5052</v>
      </c>
      <c r="F5" s="7">
        <v>506.71</v>
      </c>
      <c r="H5" s="5" t="s">
        <v>93</v>
      </c>
      <c r="I5" s="6">
        <v>10489820709.9</v>
      </c>
      <c r="J5" s="7">
        <v>8291</v>
      </c>
      <c r="K5" s="7">
        <v>4189114</v>
      </c>
      <c r="L5" s="6">
        <v>2521.29</v>
      </c>
    </row>
    <row r="6" spans="1:15" ht="15" customHeight="1" x14ac:dyDescent="0.35">
      <c r="A6" s="2" t="s">
        <v>62</v>
      </c>
      <c r="B6" s="3">
        <v>6423270551.0699997</v>
      </c>
      <c r="C6" s="3">
        <v>2514.5300000000002</v>
      </c>
      <c r="D6" s="4">
        <v>2558974</v>
      </c>
      <c r="E6" s="4">
        <v>5057</v>
      </c>
      <c r="F6" s="4">
        <v>506.03</v>
      </c>
      <c r="H6" s="2" t="s">
        <v>43</v>
      </c>
      <c r="I6" s="3">
        <v>10451853928.290001</v>
      </c>
      <c r="J6" s="4">
        <v>8345</v>
      </c>
      <c r="K6" s="4">
        <v>4168713</v>
      </c>
      <c r="L6" s="3">
        <v>2503.71</v>
      </c>
    </row>
    <row r="7" spans="1:15" ht="15" customHeight="1" x14ac:dyDescent="0.35">
      <c r="A7" s="5" t="s">
        <v>80</v>
      </c>
      <c r="B7" s="6">
        <v>6387365022.8100004</v>
      </c>
      <c r="C7" s="6">
        <v>2544.3200000000002</v>
      </c>
      <c r="D7" s="7">
        <v>2491089</v>
      </c>
      <c r="E7" s="7">
        <v>4943</v>
      </c>
      <c r="F7" s="7">
        <v>503.96</v>
      </c>
      <c r="H7" s="5" t="s">
        <v>28</v>
      </c>
      <c r="I7" s="6">
        <v>10435736972.48</v>
      </c>
      <c r="J7" s="7">
        <v>8296</v>
      </c>
      <c r="K7" s="7">
        <v>4159854</v>
      </c>
      <c r="L7" s="6">
        <v>2515.4699999999998</v>
      </c>
    </row>
    <row r="8" spans="1:15" ht="15" customHeight="1" x14ac:dyDescent="0.35">
      <c r="A8" s="2" t="s">
        <v>32</v>
      </c>
      <c r="B8" s="3">
        <v>6359389755.8199997</v>
      </c>
      <c r="C8" s="3">
        <v>2522.19</v>
      </c>
      <c r="D8" s="4">
        <v>2510448</v>
      </c>
      <c r="E8" s="4">
        <v>4966</v>
      </c>
      <c r="F8" s="4">
        <v>505.53</v>
      </c>
      <c r="H8" s="2" t="s">
        <v>16</v>
      </c>
      <c r="I8" s="3">
        <v>10426708174.629999</v>
      </c>
      <c r="J8" s="4">
        <v>8413</v>
      </c>
      <c r="K8" s="4">
        <v>4206580</v>
      </c>
      <c r="L8" s="3">
        <v>2492.19</v>
      </c>
    </row>
    <row r="9" spans="1:15" ht="15" customHeight="1" x14ac:dyDescent="0.35">
      <c r="A9" s="5" t="s">
        <v>38</v>
      </c>
      <c r="B9" s="6">
        <v>6354331589.0600004</v>
      </c>
      <c r="C9" s="6">
        <v>2493.46</v>
      </c>
      <c r="D9" s="7">
        <v>2559753</v>
      </c>
      <c r="E9" s="7">
        <v>5135</v>
      </c>
      <c r="F9" s="7">
        <v>498.49</v>
      </c>
      <c r="H9" s="5" t="s">
        <v>22</v>
      </c>
      <c r="I9" s="6">
        <v>10408238292.91</v>
      </c>
      <c r="J9" s="7">
        <v>8306</v>
      </c>
      <c r="K9" s="7">
        <v>4121307</v>
      </c>
      <c r="L9" s="6">
        <v>2527.34</v>
      </c>
    </row>
    <row r="10" spans="1:15" ht="15" customHeight="1" x14ac:dyDescent="0.35">
      <c r="A10" s="2" t="s">
        <v>26</v>
      </c>
      <c r="B10" s="3">
        <v>6227196046.3000002</v>
      </c>
      <c r="C10" s="3">
        <v>2542.38</v>
      </c>
      <c r="D10" s="4">
        <v>2455678</v>
      </c>
      <c r="E10" s="4">
        <v>4968</v>
      </c>
      <c r="F10" s="4">
        <v>494.3</v>
      </c>
      <c r="H10" s="2" t="s">
        <v>88</v>
      </c>
      <c r="I10" s="3">
        <v>10357644658.959999</v>
      </c>
      <c r="J10" s="4">
        <v>8349</v>
      </c>
      <c r="K10" s="4">
        <v>4174136</v>
      </c>
      <c r="L10" s="3">
        <v>2482.2600000000002</v>
      </c>
    </row>
    <row r="11" spans="1:15" ht="15" customHeight="1" x14ac:dyDescent="0.35">
      <c r="A11" s="5" t="s">
        <v>87</v>
      </c>
      <c r="B11" s="6">
        <v>6198518555.8100004</v>
      </c>
      <c r="C11" s="6">
        <v>2501.0500000000002</v>
      </c>
      <c r="D11" s="7">
        <v>2490259</v>
      </c>
      <c r="E11" s="7">
        <v>4949</v>
      </c>
      <c r="F11" s="7">
        <v>503.18</v>
      </c>
    </row>
    <row r="12" spans="1:15" ht="15" customHeight="1" x14ac:dyDescent="0.35">
      <c r="A12" s="2" t="s">
        <v>14</v>
      </c>
      <c r="B12" s="3">
        <v>6159807590.9200001</v>
      </c>
      <c r="C12" s="3">
        <v>2467.77</v>
      </c>
      <c r="D12" s="4">
        <v>2513718</v>
      </c>
      <c r="E12" s="4">
        <v>5092</v>
      </c>
      <c r="F12" s="4">
        <v>493.66</v>
      </c>
    </row>
    <row r="13" spans="1:15" ht="15" customHeight="1" x14ac:dyDescent="0.35">
      <c r="A13" s="5" t="s">
        <v>67</v>
      </c>
      <c r="B13" s="6">
        <v>6017286156.3500004</v>
      </c>
      <c r="C13" s="6">
        <v>2508.67</v>
      </c>
      <c r="D13" s="7">
        <v>2423513</v>
      </c>
      <c r="E13" s="7">
        <v>4904</v>
      </c>
      <c r="F13" s="7">
        <v>494.19</v>
      </c>
    </row>
    <row r="14" spans="1:15" ht="15" customHeight="1" x14ac:dyDescent="0.35">
      <c r="A14" s="2" t="s">
        <v>41</v>
      </c>
      <c r="B14" s="3">
        <v>6003284621.3699999</v>
      </c>
      <c r="C14" s="3">
        <v>2466.36</v>
      </c>
      <c r="D14" s="4">
        <v>2456367</v>
      </c>
      <c r="E14" s="4">
        <v>4934</v>
      </c>
      <c r="F14" s="4">
        <v>497.84</v>
      </c>
    </row>
    <row r="15" spans="1:15" ht="15" customHeight="1" x14ac:dyDescent="0.35">
      <c r="A15" s="8" t="s">
        <v>653</v>
      </c>
      <c r="B15" s="9">
        <v>62570002737.169998</v>
      </c>
      <c r="C15" s="9"/>
      <c r="D15" s="8">
        <v>25019704</v>
      </c>
      <c r="E15" s="8">
        <v>50000</v>
      </c>
      <c r="F15" s="8"/>
    </row>
    <row r="18" spans="1:11" ht="15" customHeight="1" x14ac:dyDescent="0.35">
      <c r="A18" s="22" t="s">
        <v>654</v>
      </c>
      <c r="H18" s="21"/>
      <c r="I18" s="13"/>
      <c r="J18" s="13"/>
      <c r="K18" s="13"/>
    </row>
    <row r="19" spans="1:11" ht="19.5" customHeight="1" x14ac:dyDescent="0.35">
      <c r="A19" s="1" t="s">
        <v>9</v>
      </c>
      <c r="B19" s="1" t="s">
        <v>655</v>
      </c>
      <c r="C19" s="1" t="s">
        <v>646</v>
      </c>
      <c r="D19" s="1" t="s">
        <v>656</v>
      </c>
      <c r="H19" s="14"/>
      <c r="I19" s="14"/>
      <c r="J19" s="14"/>
      <c r="K19" s="14"/>
    </row>
    <row r="20" spans="1:11" ht="15" customHeight="1" x14ac:dyDescent="0.35">
      <c r="A20" s="10" t="s">
        <v>29</v>
      </c>
      <c r="B20" s="10">
        <v>2625</v>
      </c>
      <c r="C20" s="11">
        <v>3293346691.2199998</v>
      </c>
      <c r="D20" s="12">
        <v>5.2499999999999998E-2</v>
      </c>
      <c r="H20" s="18"/>
      <c r="I20" s="19"/>
      <c r="J20" s="20"/>
      <c r="K20" s="19"/>
    </row>
    <row r="21" spans="1:11" ht="15" customHeight="1" x14ac:dyDescent="0.35">
      <c r="A21" s="10" t="s">
        <v>17</v>
      </c>
      <c r="B21" s="10">
        <v>29954</v>
      </c>
      <c r="C21" s="11">
        <v>37512329118.440002</v>
      </c>
      <c r="D21" s="12">
        <v>0.59907999999999995</v>
      </c>
      <c r="H21" s="15"/>
      <c r="I21" s="16"/>
      <c r="J21" s="17"/>
      <c r="K21" s="16"/>
    </row>
    <row r="22" spans="1:11" ht="15" customHeight="1" x14ac:dyDescent="0.35">
      <c r="A22" s="10" t="s">
        <v>23</v>
      </c>
      <c r="B22" s="10">
        <v>10013</v>
      </c>
      <c r="C22" s="11">
        <v>12538953223.5</v>
      </c>
      <c r="D22" s="12">
        <v>0.20025999999999999</v>
      </c>
      <c r="H22" s="18"/>
      <c r="I22" s="19"/>
      <c r="J22" s="20"/>
      <c r="K22" s="19"/>
    </row>
    <row r="23" spans="1:11" ht="15" customHeight="1" x14ac:dyDescent="0.35">
      <c r="A23" s="10" t="s">
        <v>77</v>
      </c>
      <c r="B23" s="10">
        <v>7408</v>
      </c>
      <c r="C23" s="11">
        <v>9225373704.0100002</v>
      </c>
      <c r="D23" s="12">
        <v>0.14815999999999999</v>
      </c>
      <c r="H23" s="15"/>
      <c r="I23" s="16"/>
      <c r="J23" s="17"/>
      <c r="K23" s="16"/>
    </row>
    <row r="24" spans="1:11" ht="15" customHeight="1" x14ac:dyDescent="0.35">
      <c r="H24" s="18"/>
      <c r="I24" s="19"/>
      <c r="J24" s="20"/>
      <c r="K24" s="19"/>
    </row>
    <row r="25" spans="1:11" ht="15" customHeight="1" x14ac:dyDescent="0.35">
      <c r="H25" s="15"/>
      <c r="I25" s="16"/>
      <c r="J25" s="17"/>
      <c r="K25" s="16"/>
    </row>
    <row r="26" spans="1:11" ht="15" customHeight="1" x14ac:dyDescent="0.35">
      <c r="H26" s="18"/>
      <c r="I26" s="19"/>
      <c r="J26" s="20"/>
      <c r="K26" s="19"/>
    </row>
    <row r="27" spans="1:11" ht="15" customHeight="1" x14ac:dyDescent="0.35">
      <c r="H27" s="15"/>
      <c r="I27" s="16"/>
      <c r="J27" s="17"/>
      <c r="K27" s="16"/>
    </row>
  </sheetData>
  <mergeCells count="1">
    <mergeCell ref="A1:O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10DC50-6325-45BB-8536-819286B53DCC}">
  <dimension ref="A1:B56"/>
  <sheetViews>
    <sheetView zoomScale="40" zoomScaleNormal="40" workbookViewId="0">
      <selection activeCell="AV21" sqref="AV21"/>
    </sheetView>
  </sheetViews>
  <sheetFormatPr defaultRowHeight="14.5" x14ac:dyDescent="0.35"/>
  <cols>
    <col min="1" max="1" width="16.26953125" bestFit="1" customWidth="1"/>
    <col min="2" max="2" width="18.81640625" bestFit="1" customWidth="1"/>
    <col min="3" max="3" width="19.453125" bestFit="1" customWidth="1"/>
  </cols>
  <sheetData>
    <row r="1" spans="1:2" x14ac:dyDescent="0.35">
      <c r="A1" s="23" t="s">
        <v>11</v>
      </c>
      <c r="B1" t="s">
        <v>657</v>
      </c>
    </row>
    <row r="2" spans="1:2" x14ac:dyDescent="0.35">
      <c r="A2" t="s">
        <v>658</v>
      </c>
      <c r="B2" s="36">
        <v>337957.95999999996</v>
      </c>
    </row>
    <row r="3" spans="1:2" x14ac:dyDescent="0.35">
      <c r="A3" t="s">
        <v>659</v>
      </c>
      <c r="B3" s="36">
        <v>265690.47000000003</v>
      </c>
    </row>
    <row r="4" spans="1:2" x14ac:dyDescent="0.35">
      <c r="A4" t="s">
        <v>660</v>
      </c>
      <c r="B4" s="36">
        <v>208843.72</v>
      </c>
    </row>
    <row r="5" spans="1:2" x14ac:dyDescent="0.35">
      <c r="A5" t="s">
        <v>661</v>
      </c>
      <c r="B5" s="36">
        <v>96609</v>
      </c>
    </row>
    <row r="6" spans="1:2" x14ac:dyDescent="0.35">
      <c r="A6" t="s">
        <v>662</v>
      </c>
      <c r="B6" s="36">
        <v>909101.15</v>
      </c>
    </row>
    <row r="15" spans="1:2" x14ac:dyDescent="0.35">
      <c r="A15" s="23" t="s">
        <v>2</v>
      </c>
      <c r="B15" t="s">
        <v>657</v>
      </c>
    </row>
    <row r="16" spans="1:2" x14ac:dyDescent="0.35">
      <c r="A16" t="s">
        <v>38</v>
      </c>
      <c r="B16" s="36">
        <v>107602.38999999998</v>
      </c>
    </row>
    <row r="17" spans="1:2" x14ac:dyDescent="0.35">
      <c r="A17" t="s">
        <v>14</v>
      </c>
      <c r="B17" s="36">
        <v>138926.75999999998</v>
      </c>
    </row>
    <row r="18" spans="1:2" x14ac:dyDescent="0.35">
      <c r="A18" t="s">
        <v>67</v>
      </c>
      <c r="B18" s="36">
        <v>36774.65</v>
      </c>
    </row>
    <row r="19" spans="1:2" x14ac:dyDescent="0.35">
      <c r="A19" t="s">
        <v>87</v>
      </c>
      <c r="B19" s="36">
        <v>131446.58999999997</v>
      </c>
    </row>
    <row r="20" spans="1:2" x14ac:dyDescent="0.35">
      <c r="A20" t="s">
        <v>80</v>
      </c>
      <c r="B20" s="36">
        <v>64087.340000000011</v>
      </c>
    </row>
    <row r="21" spans="1:2" x14ac:dyDescent="0.35">
      <c r="A21" t="s">
        <v>41</v>
      </c>
      <c r="B21" s="36">
        <v>100868.26000000001</v>
      </c>
    </row>
    <row r="22" spans="1:2" x14ac:dyDescent="0.35">
      <c r="A22" t="s">
        <v>20</v>
      </c>
      <c r="B22" s="36">
        <v>76394.010000000009</v>
      </c>
    </row>
    <row r="23" spans="1:2" x14ac:dyDescent="0.35">
      <c r="A23" t="s">
        <v>32</v>
      </c>
      <c r="B23" s="36">
        <v>89979.150000000009</v>
      </c>
    </row>
    <row r="24" spans="1:2" x14ac:dyDescent="0.35">
      <c r="A24" t="s">
        <v>26</v>
      </c>
      <c r="B24" s="36">
        <v>99594.790000000008</v>
      </c>
    </row>
    <row r="25" spans="1:2" x14ac:dyDescent="0.35">
      <c r="A25" t="s">
        <v>62</v>
      </c>
      <c r="B25" s="36">
        <v>63427.21</v>
      </c>
    </row>
    <row r="26" spans="1:2" x14ac:dyDescent="0.35">
      <c r="A26" t="s">
        <v>662</v>
      </c>
      <c r="B26" s="36">
        <v>909101.15</v>
      </c>
    </row>
    <row r="30" spans="1:2" x14ac:dyDescent="0.35">
      <c r="A30" s="23" t="s">
        <v>4</v>
      </c>
      <c r="B30" t="s">
        <v>657</v>
      </c>
    </row>
    <row r="31" spans="1:2" x14ac:dyDescent="0.35">
      <c r="A31" t="s">
        <v>22</v>
      </c>
      <c r="B31" s="36">
        <v>128290.11999999998</v>
      </c>
    </row>
    <row r="32" spans="1:2" x14ac:dyDescent="0.35">
      <c r="A32" t="s">
        <v>28</v>
      </c>
      <c r="B32" s="36">
        <v>123392.24</v>
      </c>
    </row>
    <row r="33" spans="1:2" x14ac:dyDescent="0.35">
      <c r="A33" t="s">
        <v>43</v>
      </c>
      <c r="B33" s="36">
        <v>167141.95000000001</v>
      </c>
    </row>
    <row r="34" spans="1:2" x14ac:dyDescent="0.35">
      <c r="A34" t="s">
        <v>93</v>
      </c>
      <c r="B34" s="36">
        <v>183080.99000000002</v>
      </c>
    </row>
    <row r="35" spans="1:2" x14ac:dyDescent="0.35">
      <c r="A35" t="s">
        <v>88</v>
      </c>
      <c r="B35" s="36">
        <v>183144.92</v>
      </c>
    </row>
    <row r="36" spans="1:2" x14ac:dyDescent="0.35">
      <c r="A36" t="s">
        <v>16</v>
      </c>
      <c r="B36" s="36">
        <v>124050.92999999998</v>
      </c>
    </row>
    <row r="37" spans="1:2" x14ac:dyDescent="0.35">
      <c r="A37" t="s">
        <v>662</v>
      </c>
      <c r="B37" s="36">
        <v>909101.15</v>
      </c>
    </row>
    <row r="45" spans="1:2" x14ac:dyDescent="0.35">
      <c r="A45" s="23" t="s">
        <v>663</v>
      </c>
      <c r="B45" t="s">
        <v>657</v>
      </c>
    </row>
    <row r="46" spans="1:2" x14ac:dyDescent="0.35">
      <c r="A46" s="24" t="s">
        <v>263</v>
      </c>
      <c r="B46" s="36">
        <v>14991.72</v>
      </c>
    </row>
    <row r="47" spans="1:2" x14ac:dyDescent="0.35">
      <c r="A47" s="24" t="s">
        <v>287</v>
      </c>
      <c r="B47" s="36">
        <v>13672.24</v>
      </c>
    </row>
    <row r="48" spans="1:2" x14ac:dyDescent="0.35">
      <c r="A48" s="24" t="s">
        <v>295</v>
      </c>
      <c r="B48" s="36">
        <v>19305.72</v>
      </c>
    </row>
    <row r="49" spans="1:2" x14ac:dyDescent="0.35">
      <c r="A49" s="24" t="s">
        <v>327</v>
      </c>
      <c r="B49" s="36">
        <v>14119.44</v>
      </c>
    </row>
    <row r="50" spans="1:2" x14ac:dyDescent="0.35">
      <c r="A50" s="24" t="s">
        <v>92</v>
      </c>
      <c r="B50" s="36">
        <v>14521.53</v>
      </c>
    </row>
    <row r="51" spans="1:2" x14ac:dyDescent="0.35">
      <c r="A51" s="24" t="s">
        <v>125</v>
      </c>
      <c r="B51" s="36">
        <v>13872.75</v>
      </c>
    </row>
    <row r="52" spans="1:2" x14ac:dyDescent="0.35">
      <c r="A52" s="24" t="s">
        <v>127</v>
      </c>
      <c r="B52" s="36">
        <v>15090.52</v>
      </c>
    </row>
    <row r="53" spans="1:2" x14ac:dyDescent="0.35">
      <c r="A53" s="24" t="s">
        <v>175</v>
      </c>
      <c r="B53" s="36">
        <v>16326.8</v>
      </c>
    </row>
    <row r="54" spans="1:2" x14ac:dyDescent="0.35">
      <c r="A54" s="24" t="s">
        <v>45</v>
      </c>
      <c r="B54" s="36">
        <v>15040.6</v>
      </c>
    </row>
    <row r="55" spans="1:2" x14ac:dyDescent="0.35">
      <c r="A55" s="24" t="s">
        <v>199</v>
      </c>
      <c r="B55" s="36">
        <v>16865.560000000001</v>
      </c>
    </row>
    <row r="56" spans="1:2" x14ac:dyDescent="0.35">
      <c r="A56" s="24" t="s">
        <v>662</v>
      </c>
      <c r="B56" s="36">
        <v>153806.88</v>
      </c>
    </row>
  </sheetData>
  <pageMargins left="0.7" right="0.7" top="0.75" bottom="0.75" header="0.3" footer="0.3"/>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902EAC-638D-47CE-AEC8-1CF30108CFB6}">
  <dimension ref="B2:O10"/>
  <sheetViews>
    <sheetView workbookViewId="0">
      <selection activeCell="S2" sqref="S2"/>
    </sheetView>
  </sheetViews>
  <sheetFormatPr defaultRowHeight="14.5" x14ac:dyDescent="0.35"/>
  <sheetData>
    <row r="2" spans="2:15" x14ac:dyDescent="0.35">
      <c r="B2" s="66" t="s">
        <v>664</v>
      </c>
      <c r="C2" s="66"/>
      <c r="D2" s="59"/>
      <c r="E2" s="59"/>
      <c r="F2" s="59"/>
      <c r="G2" s="66" t="s">
        <v>665</v>
      </c>
      <c r="H2" s="66"/>
      <c r="I2" s="59"/>
      <c r="J2" s="59"/>
      <c r="K2" s="59"/>
      <c r="L2" s="66" t="s">
        <v>666</v>
      </c>
      <c r="M2" s="66"/>
      <c r="N2" s="59"/>
      <c r="O2" s="59"/>
    </row>
    <row r="3" spans="2:15" x14ac:dyDescent="0.35">
      <c r="B3" s="65">
        <f>SUM(Sales_Data!I2:I302)</f>
        <v>1903751.7599999998</v>
      </c>
      <c r="C3" s="65"/>
      <c r="D3" s="59"/>
      <c r="E3" s="59"/>
      <c r="F3" s="59"/>
      <c r="G3" s="65" t="str" cm="1">
        <f t="array" ref="G3">INDEX(Sales_Data!C2:C302, _xlfn.XMATCH(MAX(Sales_Data!I2:I302), Sales_Data!I2:I302, 0))</f>
        <v>Sports</v>
      </c>
      <c r="H3" s="65"/>
      <c r="I3" s="59"/>
      <c r="J3" s="59"/>
      <c r="K3" s="59"/>
      <c r="L3" s="67">
        <f>SUM(Sales_Data!G2:G302)</f>
        <v>751</v>
      </c>
      <c r="M3" s="65"/>
      <c r="N3" s="59"/>
      <c r="O3" s="59"/>
    </row>
    <row r="4" spans="2:15" x14ac:dyDescent="0.35">
      <c r="B4" s="59"/>
      <c r="C4" s="59"/>
      <c r="D4" s="59"/>
      <c r="E4" s="59"/>
      <c r="F4" s="59"/>
      <c r="G4" s="59"/>
      <c r="H4" s="59"/>
      <c r="I4" s="59"/>
      <c r="J4" s="59"/>
      <c r="K4" s="59"/>
      <c r="L4" s="59"/>
      <c r="M4" s="59"/>
      <c r="N4" s="59"/>
      <c r="O4" s="59"/>
    </row>
    <row r="5" spans="2:15" x14ac:dyDescent="0.35">
      <c r="B5" s="59"/>
      <c r="C5" s="59"/>
      <c r="D5" s="59"/>
      <c r="E5" s="59"/>
      <c r="F5" s="59"/>
      <c r="G5" s="59"/>
      <c r="H5" s="59"/>
      <c r="I5" s="59"/>
      <c r="J5" s="59"/>
      <c r="K5" s="59"/>
      <c r="L5" s="59"/>
      <c r="M5" s="59"/>
      <c r="N5" s="59"/>
      <c r="O5" s="59"/>
    </row>
    <row r="6" spans="2:15" x14ac:dyDescent="0.35">
      <c r="B6" s="59"/>
      <c r="C6" s="59"/>
      <c r="D6" s="59"/>
      <c r="E6" s="59"/>
      <c r="F6" s="59"/>
      <c r="G6" s="59"/>
      <c r="H6" s="59"/>
      <c r="I6" s="59"/>
      <c r="J6" s="59"/>
      <c r="K6" s="59"/>
      <c r="L6" s="59"/>
      <c r="M6" s="59"/>
      <c r="N6" s="59"/>
      <c r="O6" s="59"/>
    </row>
    <row r="7" spans="2:15" x14ac:dyDescent="0.35">
      <c r="B7" s="59"/>
      <c r="C7" s="59"/>
      <c r="D7" s="59"/>
      <c r="E7" s="59"/>
      <c r="F7" s="59"/>
      <c r="G7" s="59"/>
      <c r="H7" s="59"/>
      <c r="I7" s="59"/>
      <c r="J7" s="59"/>
      <c r="K7" s="59"/>
      <c r="L7" s="59"/>
      <c r="M7" s="59"/>
      <c r="N7" s="59"/>
      <c r="O7" s="59"/>
    </row>
    <row r="8" spans="2:15" x14ac:dyDescent="0.35">
      <c r="B8" s="59"/>
      <c r="C8" s="59"/>
      <c r="D8" s="59"/>
      <c r="E8" s="59"/>
      <c r="F8" s="59"/>
      <c r="G8" s="59"/>
      <c r="H8" s="59"/>
      <c r="I8" s="59"/>
      <c r="J8" s="59"/>
      <c r="K8" s="59"/>
      <c r="L8" s="59"/>
      <c r="M8" s="59"/>
      <c r="N8" s="59"/>
      <c r="O8" s="59"/>
    </row>
    <row r="9" spans="2:15" x14ac:dyDescent="0.35">
      <c r="B9" s="59"/>
      <c r="C9" s="59"/>
      <c r="D9" s="59"/>
      <c r="E9" s="59"/>
      <c r="F9" s="59"/>
      <c r="G9" s="64" t="s">
        <v>667</v>
      </c>
      <c r="H9" s="64"/>
      <c r="I9" s="59"/>
      <c r="J9" s="59"/>
      <c r="K9" s="59"/>
      <c r="L9" s="59"/>
      <c r="M9" s="59"/>
      <c r="N9" s="59"/>
      <c r="O9" s="59"/>
    </row>
    <row r="10" spans="2:15" x14ac:dyDescent="0.35">
      <c r="B10" s="59"/>
      <c r="C10" s="59"/>
      <c r="D10" s="59"/>
      <c r="E10" s="59"/>
      <c r="F10" s="59"/>
      <c r="G10" s="65">
        <f>SUM(Sales_Data!I2:I302) / COUNTA(Sales_Data!B2:B302)</f>
        <v>6324.7566777408629</v>
      </c>
      <c r="H10" s="65"/>
      <c r="I10" s="59"/>
      <c r="J10" s="59"/>
      <c r="K10" s="59"/>
      <c r="L10" s="59"/>
      <c r="M10" s="59"/>
      <c r="N10" s="59"/>
      <c r="O10" s="59"/>
    </row>
  </sheetData>
  <mergeCells count="8">
    <mergeCell ref="G9:H9"/>
    <mergeCell ref="G10:H10"/>
    <mergeCell ref="B2:C2"/>
    <mergeCell ref="G2:H2"/>
    <mergeCell ref="L2:M2"/>
    <mergeCell ref="L3:M3"/>
    <mergeCell ref="G3:H3"/>
    <mergeCell ref="B3:C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CE8C9-F2E3-4CBC-A7C9-1B9A7FBBC587}">
  <dimension ref="C2:R40"/>
  <sheetViews>
    <sheetView tabSelected="1" zoomScale="70" zoomScaleNormal="70" workbookViewId="0">
      <selection activeCell="C5" sqref="C5"/>
    </sheetView>
  </sheetViews>
  <sheetFormatPr defaultRowHeight="14.5" x14ac:dyDescent="0.35"/>
  <cols>
    <col min="14" max="14" width="8.7265625" customWidth="1"/>
  </cols>
  <sheetData>
    <row r="2" spans="3:18" x14ac:dyDescent="0.35">
      <c r="C2" s="71" t="s">
        <v>668</v>
      </c>
      <c r="D2" s="72"/>
      <c r="E2" s="72"/>
      <c r="F2" s="72"/>
      <c r="G2" s="72"/>
      <c r="H2" s="72"/>
      <c r="I2" s="72"/>
      <c r="J2" s="72"/>
      <c r="K2" s="72"/>
      <c r="L2" s="72"/>
      <c r="M2" s="72"/>
      <c r="N2" s="72"/>
      <c r="O2" s="72"/>
      <c r="P2" s="72"/>
      <c r="Q2" s="72"/>
      <c r="R2" s="72"/>
    </row>
    <row r="3" spans="3:18" x14ac:dyDescent="0.35">
      <c r="C3" s="72"/>
      <c r="D3" s="72"/>
      <c r="E3" s="72"/>
      <c r="F3" s="72"/>
      <c r="G3" s="72"/>
      <c r="H3" s="72"/>
      <c r="I3" s="72"/>
      <c r="J3" s="72"/>
      <c r="K3" s="72"/>
      <c r="L3" s="72"/>
      <c r="M3" s="72"/>
      <c r="N3" s="72"/>
      <c r="O3" s="72"/>
      <c r="P3" s="72"/>
      <c r="Q3" s="72"/>
      <c r="R3" s="72"/>
    </row>
    <row r="4" spans="3:18" x14ac:dyDescent="0.35">
      <c r="C4" s="72"/>
      <c r="D4" s="72"/>
      <c r="E4" s="72"/>
      <c r="F4" s="72"/>
      <c r="G4" s="72"/>
      <c r="H4" s="72"/>
      <c r="I4" s="72"/>
      <c r="J4" s="72"/>
      <c r="K4" s="72"/>
      <c r="L4" s="72"/>
      <c r="M4" s="72"/>
      <c r="N4" s="72"/>
      <c r="O4" s="72"/>
      <c r="P4" s="72"/>
      <c r="Q4" s="72"/>
      <c r="R4" s="72"/>
    </row>
    <row r="5" spans="3:18" x14ac:dyDescent="0.35">
      <c r="C5" s="58"/>
      <c r="D5" s="58"/>
      <c r="E5" s="58"/>
      <c r="F5" s="58"/>
      <c r="G5" s="58"/>
      <c r="H5" s="58"/>
      <c r="I5" s="58"/>
      <c r="J5" s="58"/>
      <c r="K5" s="58"/>
      <c r="L5" s="58"/>
      <c r="M5" s="58"/>
      <c r="N5" s="58"/>
      <c r="O5" s="58"/>
      <c r="P5" s="58"/>
      <c r="Q5" s="58"/>
      <c r="R5" s="58"/>
    </row>
    <row r="6" spans="3:18" x14ac:dyDescent="0.35">
      <c r="C6" s="58"/>
      <c r="D6" s="58"/>
      <c r="E6" s="58"/>
      <c r="F6" s="58"/>
      <c r="G6" s="64" t="s">
        <v>664</v>
      </c>
      <c r="H6" s="68"/>
      <c r="I6" s="58"/>
      <c r="J6" s="66" t="s">
        <v>665</v>
      </c>
      <c r="K6" s="66"/>
      <c r="L6" s="60"/>
      <c r="M6" s="66" t="s">
        <v>666</v>
      </c>
      <c r="N6" s="66"/>
      <c r="O6" s="60"/>
      <c r="P6" s="66" t="s">
        <v>667</v>
      </c>
      <c r="Q6" s="68"/>
      <c r="R6" s="58"/>
    </row>
    <row r="7" spans="3:18" x14ac:dyDescent="0.35">
      <c r="C7" s="58"/>
      <c r="D7" s="58"/>
      <c r="E7" s="58"/>
      <c r="F7" s="58"/>
      <c r="G7" s="69">
        <v>1903751.7599999998</v>
      </c>
      <c r="H7" s="69"/>
      <c r="I7" s="61"/>
      <c r="J7" s="69" t="s">
        <v>32</v>
      </c>
      <c r="K7" s="69"/>
      <c r="L7" s="61"/>
      <c r="M7" s="69">
        <v>751</v>
      </c>
      <c r="N7" s="69"/>
      <c r="O7" s="61"/>
      <c r="P7" s="69">
        <v>6324.7566777408629</v>
      </c>
      <c r="Q7" s="70"/>
      <c r="R7" s="58"/>
    </row>
    <row r="8" spans="3:18" x14ac:dyDescent="0.35">
      <c r="C8" s="58"/>
      <c r="D8" s="58"/>
      <c r="E8" s="58"/>
      <c r="F8" s="58"/>
      <c r="G8" s="58"/>
      <c r="H8" s="58"/>
      <c r="I8" s="58"/>
      <c r="J8" s="58"/>
      <c r="K8" s="58"/>
      <c r="L8" s="58"/>
      <c r="M8" s="58"/>
      <c r="N8" s="58"/>
      <c r="O8" s="58"/>
      <c r="P8" s="58"/>
      <c r="Q8" s="58"/>
      <c r="R8" s="58"/>
    </row>
    <row r="9" spans="3:18" x14ac:dyDescent="0.35">
      <c r="C9" s="58"/>
      <c r="D9" s="58"/>
      <c r="E9" s="58"/>
      <c r="F9" s="58"/>
      <c r="G9" s="58"/>
      <c r="H9" s="58"/>
      <c r="I9" s="58"/>
      <c r="J9" s="58"/>
      <c r="K9" s="58"/>
      <c r="L9" s="58"/>
      <c r="M9" s="58"/>
      <c r="N9" s="58"/>
      <c r="O9" s="58"/>
      <c r="P9" s="58"/>
      <c r="Q9" s="58"/>
      <c r="R9" s="58"/>
    </row>
    <row r="10" spans="3:18" x14ac:dyDescent="0.35">
      <c r="C10" s="58"/>
      <c r="D10" s="58"/>
      <c r="E10" s="58"/>
      <c r="F10" s="58"/>
      <c r="G10" s="58"/>
      <c r="H10" s="58"/>
      <c r="I10" s="58"/>
      <c r="J10" s="58"/>
      <c r="K10" s="58"/>
      <c r="L10" s="58"/>
      <c r="M10" s="58"/>
      <c r="N10" s="58"/>
      <c r="O10" s="58"/>
      <c r="P10" s="58"/>
      <c r="Q10" s="58"/>
      <c r="R10" s="58"/>
    </row>
    <row r="11" spans="3:18" x14ac:dyDescent="0.35">
      <c r="C11" s="58"/>
      <c r="D11" s="58"/>
      <c r="E11" s="58"/>
      <c r="F11" s="58"/>
      <c r="G11" s="58"/>
      <c r="H11" s="58"/>
      <c r="I11" s="58"/>
      <c r="J11" s="58"/>
      <c r="K11" s="58"/>
      <c r="L11" s="58"/>
      <c r="M11" s="58"/>
      <c r="N11" s="58"/>
      <c r="O11" s="58"/>
      <c r="P11" s="58"/>
      <c r="Q11" s="58"/>
      <c r="R11" s="58"/>
    </row>
    <row r="12" spans="3:18" x14ac:dyDescent="0.35">
      <c r="C12" s="58"/>
      <c r="D12" s="58"/>
      <c r="E12" s="58"/>
      <c r="F12" s="58"/>
      <c r="G12" s="58"/>
      <c r="H12" s="58"/>
      <c r="I12" s="58"/>
      <c r="J12" s="58"/>
      <c r="K12" s="58"/>
      <c r="L12" s="58"/>
      <c r="M12" s="58"/>
      <c r="N12" s="58"/>
      <c r="O12" s="58"/>
      <c r="P12" s="58"/>
      <c r="Q12" s="58"/>
      <c r="R12" s="58"/>
    </row>
    <row r="13" spans="3:18" x14ac:dyDescent="0.35">
      <c r="C13" s="58"/>
      <c r="D13" s="58"/>
      <c r="E13" s="58"/>
      <c r="F13" s="58"/>
      <c r="G13" s="58"/>
      <c r="H13" s="58"/>
      <c r="I13" s="58"/>
      <c r="J13" s="58"/>
      <c r="K13" s="58"/>
      <c r="L13" s="58"/>
      <c r="M13" s="58"/>
      <c r="N13" s="58"/>
      <c r="O13" s="58"/>
      <c r="P13" s="58"/>
      <c r="Q13" s="58"/>
      <c r="R13" s="58"/>
    </row>
    <row r="14" spans="3:18" x14ac:dyDescent="0.35">
      <c r="C14" s="58"/>
      <c r="D14" s="58"/>
      <c r="E14" s="58"/>
      <c r="F14" s="58"/>
      <c r="G14" s="58"/>
      <c r="H14" s="58"/>
      <c r="I14" s="58"/>
      <c r="J14" s="58"/>
      <c r="K14" s="58"/>
      <c r="L14" s="58"/>
      <c r="M14" s="58"/>
      <c r="N14" s="58"/>
      <c r="O14" s="58"/>
      <c r="P14" s="58"/>
      <c r="Q14" s="58"/>
      <c r="R14" s="58"/>
    </row>
    <row r="15" spans="3:18" x14ac:dyDescent="0.35">
      <c r="C15" s="58"/>
      <c r="D15" s="58"/>
      <c r="E15" s="58"/>
      <c r="F15" s="58"/>
      <c r="G15" s="58"/>
      <c r="H15" s="58"/>
      <c r="I15" s="58"/>
      <c r="J15" s="58"/>
      <c r="K15" s="58"/>
      <c r="L15" s="58"/>
      <c r="M15" s="58"/>
      <c r="N15" s="58"/>
      <c r="O15" s="58"/>
      <c r="P15" s="58"/>
      <c r="Q15" s="58"/>
      <c r="R15" s="58"/>
    </row>
    <row r="16" spans="3:18" x14ac:dyDescent="0.35">
      <c r="C16" s="58"/>
      <c r="D16" s="58"/>
      <c r="E16" s="58"/>
      <c r="F16" s="58"/>
      <c r="G16" s="58"/>
      <c r="H16" s="58"/>
      <c r="I16" s="58"/>
      <c r="J16" s="58"/>
      <c r="K16" s="58"/>
      <c r="L16" s="58"/>
      <c r="M16" s="58"/>
      <c r="N16" s="58"/>
      <c r="O16" s="58"/>
      <c r="P16" s="58"/>
      <c r="Q16" s="58"/>
      <c r="R16" s="58"/>
    </row>
    <row r="17" spans="3:18" x14ac:dyDescent="0.35">
      <c r="C17" s="58"/>
      <c r="D17" s="58"/>
      <c r="E17" s="58"/>
      <c r="F17" s="58"/>
      <c r="G17" s="58"/>
      <c r="H17" s="58"/>
      <c r="I17" s="58"/>
      <c r="J17" s="58"/>
      <c r="K17" s="58"/>
      <c r="L17" s="58"/>
      <c r="M17" s="58"/>
      <c r="N17" s="58"/>
      <c r="O17" s="58"/>
      <c r="P17" s="58"/>
      <c r="Q17" s="58"/>
      <c r="R17" s="58"/>
    </row>
    <row r="18" spans="3:18" x14ac:dyDescent="0.35">
      <c r="C18" s="58"/>
      <c r="D18" s="58"/>
      <c r="E18" s="58"/>
      <c r="F18" s="58"/>
      <c r="G18" s="58"/>
      <c r="H18" s="58"/>
      <c r="I18" s="58"/>
      <c r="J18" s="58"/>
      <c r="K18" s="58"/>
      <c r="L18" s="58"/>
      <c r="M18" s="58"/>
      <c r="N18" s="58"/>
      <c r="O18" s="58"/>
      <c r="P18" s="58"/>
      <c r="Q18" s="58"/>
      <c r="R18" s="58"/>
    </row>
    <row r="19" spans="3:18" x14ac:dyDescent="0.35">
      <c r="C19" s="58"/>
      <c r="D19" s="58"/>
      <c r="E19" s="58"/>
      <c r="F19" s="58"/>
      <c r="G19" s="58"/>
      <c r="H19" s="58"/>
      <c r="I19" s="58"/>
      <c r="J19" s="58"/>
      <c r="K19" s="58"/>
      <c r="L19" s="58"/>
      <c r="M19" s="58"/>
      <c r="N19" s="58"/>
      <c r="O19" s="58"/>
      <c r="P19" s="58"/>
      <c r="Q19" s="58"/>
      <c r="R19" s="58"/>
    </row>
    <row r="20" spans="3:18" x14ac:dyDescent="0.35">
      <c r="C20" s="58"/>
      <c r="D20" s="58"/>
      <c r="E20" s="58"/>
      <c r="F20" s="58"/>
      <c r="G20" s="58"/>
      <c r="H20" s="58"/>
      <c r="I20" s="58"/>
      <c r="J20" s="58"/>
      <c r="K20" s="58"/>
      <c r="L20" s="58"/>
      <c r="M20" s="58"/>
      <c r="N20" s="58"/>
      <c r="O20" s="58"/>
      <c r="P20" s="58"/>
      <c r="Q20" s="58"/>
      <c r="R20" s="58"/>
    </row>
    <row r="21" spans="3:18" x14ac:dyDescent="0.35">
      <c r="C21" s="58"/>
      <c r="D21" s="58"/>
      <c r="E21" s="58"/>
      <c r="F21" s="58"/>
      <c r="G21" s="58"/>
      <c r="H21" s="58"/>
      <c r="I21" s="58"/>
      <c r="J21" s="58"/>
      <c r="K21" s="58"/>
      <c r="L21" s="58"/>
      <c r="M21" s="58"/>
      <c r="N21" s="58"/>
      <c r="O21" s="58"/>
      <c r="P21" s="58"/>
      <c r="Q21" s="58"/>
      <c r="R21" s="58"/>
    </row>
    <row r="22" spans="3:18" x14ac:dyDescent="0.35">
      <c r="C22" s="58"/>
      <c r="D22" s="58"/>
      <c r="E22" s="58"/>
      <c r="F22" s="58"/>
      <c r="G22" s="58"/>
      <c r="H22" s="58"/>
      <c r="I22" s="58"/>
      <c r="J22" s="58"/>
      <c r="K22" s="58"/>
      <c r="L22" s="58"/>
      <c r="M22" s="58"/>
      <c r="N22" s="58"/>
      <c r="O22" s="58"/>
      <c r="P22" s="58"/>
      <c r="Q22" s="58"/>
      <c r="R22" s="58"/>
    </row>
    <row r="23" spans="3:18" x14ac:dyDescent="0.35">
      <c r="C23" s="58"/>
      <c r="D23" s="58"/>
      <c r="E23" s="58"/>
      <c r="F23" s="58"/>
      <c r="G23" s="58"/>
      <c r="H23" s="58"/>
      <c r="I23" s="58"/>
      <c r="J23" s="58"/>
      <c r="K23" s="58"/>
      <c r="L23" s="58"/>
      <c r="M23" s="58"/>
      <c r="N23" s="58"/>
      <c r="O23" s="58"/>
      <c r="P23" s="58"/>
      <c r="Q23" s="58"/>
      <c r="R23" s="58"/>
    </row>
    <row r="24" spans="3:18" x14ac:dyDescent="0.35">
      <c r="C24" s="58"/>
      <c r="D24" s="58"/>
      <c r="E24" s="58"/>
      <c r="F24" s="58"/>
      <c r="G24" s="58"/>
      <c r="H24" s="58"/>
      <c r="I24" s="58"/>
      <c r="J24" s="58"/>
      <c r="K24" s="58"/>
      <c r="L24" s="58"/>
      <c r="M24" s="58"/>
      <c r="N24" s="58"/>
      <c r="O24" s="58"/>
      <c r="P24" s="58"/>
      <c r="Q24" s="58"/>
      <c r="R24" s="58"/>
    </row>
    <row r="25" spans="3:18" x14ac:dyDescent="0.35">
      <c r="C25" s="58"/>
      <c r="D25" s="58"/>
      <c r="E25" s="58"/>
      <c r="F25" s="58"/>
      <c r="G25" s="58"/>
      <c r="H25" s="58"/>
      <c r="I25" s="58"/>
      <c r="J25" s="58"/>
      <c r="K25" s="58"/>
      <c r="L25" s="58"/>
      <c r="M25" s="58"/>
      <c r="N25" s="58"/>
      <c r="O25" s="58"/>
      <c r="P25" s="58"/>
      <c r="Q25" s="58"/>
      <c r="R25" s="58"/>
    </row>
    <row r="26" spans="3:18" x14ac:dyDescent="0.35">
      <c r="C26" s="58"/>
      <c r="D26" s="58"/>
      <c r="E26" s="58"/>
      <c r="F26" s="58"/>
      <c r="G26" s="58"/>
      <c r="H26" s="58"/>
      <c r="I26" s="58"/>
      <c r="J26" s="58"/>
      <c r="K26" s="58"/>
      <c r="L26" s="58"/>
      <c r="M26" s="58"/>
      <c r="N26" s="58"/>
      <c r="O26" s="58"/>
      <c r="P26" s="58"/>
      <c r="Q26" s="58"/>
      <c r="R26" s="58"/>
    </row>
    <row r="27" spans="3:18" x14ac:dyDescent="0.35">
      <c r="C27" s="58"/>
      <c r="D27" s="58"/>
      <c r="E27" s="58"/>
      <c r="F27" s="58"/>
      <c r="G27" s="58"/>
      <c r="H27" s="58"/>
      <c r="I27" s="58"/>
      <c r="J27" s="58"/>
      <c r="K27" s="58"/>
      <c r="L27" s="58"/>
      <c r="M27" s="58"/>
      <c r="N27" s="58"/>
      <c r="O27" s="58"/>
      <c r="P27" s="58"/>
      <c r="Q27" s="58"/>
      <c r="R27" s="58"/>
    </row>
    <row r="28" spans="3:18" x14ac:dyDescent="0.35">
      <c r="C28" s="58"/>
      <c r="D28" s="58"/>
      <c r="E28" s="58"/>
      <c r="F28" s="58"/>
      <c r="G28" s="58"/>
      <c r="H28" s="58"/>
      <c r="I28" s="58"/>
      <c r="J28" s="58"/>
      <c r="K28" s="58"/>
      <c r="L28" s="58"/>
      <c r="M28" s="58"/>
      <c r="N28" s="58"/>
      <c r="O28" s="58"/>
      <c r="P28" s="58"/>
      <c r="Q28" s="58"/>
      <c r="R28" s="58"/>
    </row>
    <row r="29" spans="3:18" x14ac:dyDescent="0.35">
      <c r="C29" s="58"/>
      <c r="D29" s="58"/>
      <c r="E29" s="58"/>
      <c r="F29" s="58"/>
      <c r="G29" s="58"/>
      <c r="H29" s="58"/>
      <c r="I29" s="58"/>
      <c r="J29" s="58"/>
      <c r="K29" s="58"/>
      <c r="L29" s="58"/>
      <c r="M29" s="58"/>
      <c r="N29" s="58"/>
      <c r="O29" s="58"/>
      <c r="P29" s="58"/>
      <c r="Q29" s="58"/>
      <c r="R29" s="58"/>
    </row>
    <row r="30" spans="3:18" x14ac:dyDescent="0.35">
      <c r="C30" s="58"/>
      <c r="D30" s="58"/>
      <c r="E30" s="58"/>
      <c r="F30" s="58"/>
      <c r="G30" s="58"/>
      <c r="H30" s="58"/>
      <c r="I30" s="58"/>
      <c r="J30" s="58"/>
      <c r="K30" s="58"/>
      <c r="L30" s="58"/>
      <c r="M30" s="58"/>
      <c r="N30" s="58"/>
      <c r="O30" s="58"/>
      <c r="P30" s="58"/>
      <c r="Q30" s="58"/>
      <c r="R30" s="58"/>
    </row>
    <row r="31" spans="3:18" x14ac:dyDescent="0.35">
      <c r="C31" s="58"/>
      <c r="D31" s="58"/>
      <c r="E31" s="58"/>
      <c r="F31" s="58"/>
      <c r="G31" s="58"/>
      <c r="H31" s="58"/>
      <c r="I31" s="58"/>
      <c r="J31" s="58"/>
      <c r="K31" s="58"/>
      <c r="L31" s="58"/>
      <c r="M31" s="58"/>
      <c r="N31" s="58"/>
      <c r="O31" s="58"/>
      <c r="P31" s="58"/>
      <c r="Q31" s="58"/>
      <c r="R31" s="58"/>
    </row>
    <row r="32" spans="3:18" x14ac:dyDescent="0.35">
      <c r="C32" s="58"/>
      <c r="D32" s="58"/>
      <c r="E32" s="58"/>
      <c r="F32" s="58"/>
      <c r="G32" s="58"/>
      <c r="H32" s="58"/>
      <c r="I32" s="58"/>
      <c r="J32" s="58"/>
      <c r="K32" s="58"/>
      <c r="L32" s="58"/>
      <c r="M32" s="58"/>
      <c r="N32" s="58"/>
      <c r="O32" s="58"/>
      <c r="P32" s="58"/>
      <c r="Q32" s="58"/>
      <c r="R32" s="58"/>
    </row>
    <row r="33" spans="3:18" x14ac:dyDescent="0.35">
      <c r="C33" s="58"/>
      <c r="D33" s="58"/>
      <c r="E33" s="58"/>
      <c r="F33" s="58"/>
      <c r="G33" s="58"/>
      <c r="H33" s="58"/>
      <c r="I33" s="58"/>
      <c r="J33" s="58"/>
      <c r="K33" s="58"/>
      <c r="L33" s="58"/>
      <c r="M33" s="58"/>
      <c r="N33" s="58"/>
      <c r="O33" s="58"/>
      <c r="P33" s="58"/>
      <c r="Q33" s="58"/>
      <c r="R33" s="58"/>
    </row>
    <row r="34" spans="3:18" x14ac:dyDescent="0.35">
      <c r="C34" s="58"/>
      <c r="D34" s="58"/>
      <c r="E34" s="58"/>
      <c r="F34" s="58"/>
      <c r="G34" s="58"/>
      <c r="H34" s="58"/>
      <c r="I34" s="58"/>
      <c r="J34" s="58"/>
      <c r="K34" s="58"/>
      <c r="L34" s="58"/>
      <c r="M34" s="58"/>
      <c r="N34" s="58"/>
      <c r="O34" s="58"/>
      <c r="P34" s="58"/>
      <c r="Q34" s="58"/>
      <c r="R34" s="58"/>
    </row>
    <row r="35" spans="3:18" x14ac:dyDescent="0.35">
      <c r="C35" s="58"/>
      <c r="D35" s="58"/>
      <c r="E35" s="58"/>
      <c r="F35" s="58"/>
      <c r="G35" s="58"/>
      <c r="H35" s="58"/>
      <c r="I35" s="58"/>
      <c r="J35" s="58"/>
      <c r="K35" s="58"/>
      <c r="L35" s="58"/>
      <c r="M35" s="58"/>
      <c r="N35" s="58"/>
      <c r="O35" s="58"/>
      <c r="P35" s="58"/>
      <c r="Q35" s="58"/>
      <c r="R35" s="58"/>
    </row>
    <row r="36" spans="3:18" x14ac:dyDescent="0.35">
      <c r="C36" s="58"/>
      <c r="D36" s="58"/>
      <c r="E36" s="58"/>
      <c r="F36" s="58"/>
      <c r="G36" s="58"/>
      <c r="H36" s="58"/>
      <c r="I36" s="58"/>
      <c r="J36" s="58"/>
      <c r="K36" s="58"/>
      <c r="L36" s="58"/>
      <c r="M36" s="58"/>
      <c r="N36" s="58"/>
      <c r="O36" s="58"/>
      <c r="P36" s="58"/>
      <c r="Q36" s="58"/>
      <c r="R36" s="58"/>
    </row>
    <row r="37" spans="3:18" x14ac:dyDescent="0.35">
      <c r="C37" s="58"/>
      <c r="D37" s="58"/>
      <c r="E37" s="58"/>
      <c r="F37" s="58"/>
      <c r="G37" s="58"/>
      <c r="H37" s="58"/>
      <c r="I37" s="58"/>
      <c r="J37" s="58"/>
      <c r="K37" s="58"/>
      <c r="L37" s="58"/>
      <c r="M37" s="58"/>
      <c r="N37" s="58"/>
      <c r="O37" s="58"/>
      <c r="P37" s="58"/>
      <c r="Q37" s="58"/>
      <c r="R37" s="58"/>
    </row>
    <row r="38" spans="3:18" x14ac:dyDescent="0.35">
      <c r="C38" s="58"/>
      <c r="D38" s="58"/>
      <c r="E38" s="58"/>
      <c r="F38" s="58"/>
      <c r="G38" s="58"/>
      <c r="H38" s="58"/>
      <c r="I38" s="58"/>
      <c r="J38" s="58"/>
      <c r="K38" s="58"/>
      <c r="L38" s="58"/>
      <c r="M38" s="58"/>
      <c r="N38" s="58"/>
      <c r="O38" s="58"/>
      <c r="P38" s="58"/>
      <c r="Q38" s="58"/>
      <c r="R38" s="58"/>
    </row>
    <row r="39" spans="3:18" x14ac:dyDescent="0.35">
      <c r="C39" s="58"/>
      <c r="D39" s="58"/>
      <c r="E39" s="58"/>
      <c r="F39" s="58"/>
      <c r="G39" s="58"/>
      <c r="H39" s="58"/>
      <c r="I39" s="58"/>
      <c r="J39" s="58"/>
      <c r="K39" s="58"/>
      <c r="L39" s="58"/>
      <c r="M39" s="58"/>
      <c r="N39" s="58"/>
      <c r="O39" s="58"/>
      <c r="P39" s="58"/>
      <c r="Q39" s="58"/>
      <c r="R39" s="58"/>
    </row>
    <row r="40" spans="3:18" x14ac:dyDescent="0.35">
      <c r="C40" s="13"/>
      <c r="D40" s="13"/>
      <c r="E40" s="13"/>
      <c r="F40" s="13"/>
      <c r="G40" s="13"/>
      <c r="H40" s="13"/>
      <c r="I40" s="13"/>
      <c r="J40" s="13"/>
      <c r="K40" s="13"/>
      <c r="L40" s="13"/>
      <c r="M40" s="13"/>
      <c r="N40" s="13"/>
      <c r="O40" s="13"/>
      <c r="P40" s="13"/>
      <c r="Q40" s="13"/>
      <c r="R40" s="13"/>
    </row>
  </sheetData>
  <mergeCells count="9">
    <mergeCell ref="P6:Q6"/>
    <mergeCell ref="P7:Q7"/>
    <mergeCell ref="C2:R4"/>
    <mergeCell ref="G6:H6"/>
    <mergeCell ref="G7:H7"/>
    <mergeCell ref="J6:K6"/>
    <mergeCell ref="J7:K7"/>
    <mergeCell ref="M6:N6"/>
    <mergeCell ref="M7:N7"/>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Sales_Data</vt:lpstr>
      <vt:lpstr>Summarzation</vt:lpstr>
      <vt:lpstr>Pivot_Table</vt:lpstr>
      <vt:lpstr>KPI's</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nitin singh</cp:lastModifiedBy>
  <cp:revision>3</cp:revision>
  <dcterms:created xsi:type="dcterms:W3CDTF">2026-06-02T03:21:30Z</dcterms:created>
  <dcterms:modified xsi:type="dcterms:W3CDTF">2026-06-05T11:03:36Z</dcterms:modified>
  <cp:category/>
  <cp:contentStatus/>
</cp:coreProperties>
</file>